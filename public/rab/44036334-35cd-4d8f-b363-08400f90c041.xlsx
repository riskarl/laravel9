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ya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C42" i="1"/>
  <c r="F30" i="1" l="1"/>
  <c r="F27" i="1" l="1"/>
  <c r="F24" i="1"/>
  <c r="F25" i="1"/>
  <c r="F26" i="1"/>
  <c r="F28" i="1"/>
  <c r="F29" i="1"/>
  <c r="F23" i="1"/>
  <c r="F31" i="1" l="1"/>
  <c r="F38" i="1"/>
  <c r="F37" i="1"/>
  <c r="F36" i="1"/>
  <c r="F35" i="1"/>
  <c r="F34" i="1"/>
  <c r="F33" i="1"/>
  <c r="F39" i="1" l="1"/>
  <c r="F11" i="1"/>
  <c r="F5" i="1"/>
  <c r="F6" i="1"/>
  <c r="F7" i="1"/>
  <c r="F8" i="1"/>
  <c r="F13" i="1"/>
  <c r="F14" i="1"/>
  <c r="F15" i="1"/>
  <c r="F16" i="1"/>
  <c r="F17" i="1"/>
  <c r="F18" i="1"/>
  <c r="F19" i="1"/>
  <c r="F4" i="1"/>
  <c r="F9" i="1" l="1"/>
  <c r="F20" i="1"/>
  <c r="F40" i="1" l="1"/>
</calcChain>
</file>

<file path=xl/sharedStrings.xml><?xml version="1.0" encoding="utf-8"?>
<sst xmlns="http://schemas.openxmlformats.org/spreadsheetml/2006/main" count="78" uniqueCount="59">
  <si>
    <t>No</t>
  </si>
  <si>
    <t>Uraian</t>
  </si>
  <si>
    <t>Volume</t>
  </si>
  <si>
    <t>Satuan</t>
  </si>
  <si>
    <t>Harga</t>
  </si>
  <si>
    <t>Jumlah</t>
  </si>
  <si>
    <t>Banner 3x2</t>
  </si>
  <si>
    <t>Stopmap</t>
  </si>
  <si>
    <t>Double Tape Hitam</t>
  </si>
  <si>
    <t>Double Tape Putih</t>
  </si>
  <si>
    <t>Id Card</t>
  </si>
  <si>
    <t>Stiker</t>
  </si>
  <si>
    <t>Pulpen</t>
  </si>
  <si>
    <t>HVS</t>
  </si>
  <si>
    <t>Pcs</t>
  </si>
  <si>
    <t>Pack</t>
  </si>
  <si>
    <t>Lembar</t>
  </si>
  <si>
    <t xml:space="preserve">Sertifikat </t>
  </si>
  <si>
    <t>GSC</t>
  </si>
  <si>
    <t>Panti Asuhan</t>
  </si>
  <si>
    <t>Juara</t>
  </si>
  <si>
    <t>Ormawa</t>
  </si>
  <si>
    <t>Honor Narasumber</t>
  </si>
  <si>
    <t>Orang</t>
  </si>
  <si>
    <t>Rim</t>
  </si>
  <si>
    <t>Total Administrasi dan Kesekretariatan</t>
  </si>
  <si>
    <t>Sumber Dana</t>
  </si>
  <si>
    <t>Dana DIPA</t>
  </si>
  <si>
    <t>DANA IOM</t>
  </si>
  <si>
    <t>Total Perlengkapan</t>
  </si>
  <si>
    <t xml:space="preserve">Konsumsi Panitia </t>
  </si>
  <si>
    <t>Dus</t>
  </si>
  <si>
    <t>Konsumsi Anak Panti</t>
  </si>
  <si>
    <t>Konsumsi Pengurus</t>
  </si>
  <si>
    <t xml:space="preserve">Air mineral </t>
  </si>
  <si>
    <t>Es buah</t>
  </si>
  <si>
    <t>Cup</t>
  </si>
  <si>
    <t>Buah Kurma</t>
  </si>
  <si>
    <t>I. PERLENGKAPAN</t>
  </si>
  <si>
    <t>II. ADMINISTRASI DAN KESEKRETARIATAN</t>
  </si>
  <si>
    <t>III. Konsumsi</t>
  </si>
  <si>
    <t>Total Seluruh Anggaran</t>
  </si>
  <si>
    <t>A. Konsumsi Internal</t>
  </si>
  <si>
    <t>B. Konsumsi Eksternal</t>
  </si>
  <si>
    <t>Tamu Undangan (Kampus)</t>
  </si>
  <si>
    <t>Tamu Undangan (GSC)</t>
  </si>
  <si>
    <t>Tamu Undangan (Al-Mustakim)</t>
  </si>
  <si>
    <t>Tamu Undangan (Ormawa, UKM)</t>
  </si>
  <si>
    <t>Air Mineral Botol</t>
  </si>
  <si>
    <t>Botol</t>
  </si>
  <si>
    <t>Air Mineral Gelas</t>
  </si>
  <si>
    <t>Total Anggaran Konsumsi Eksternal</t>
  </si>
  <si>
    <t>Kg</t>
  </si>
  <si>
    <t>Total Anggaran Konsumsi Internal</t>
  </si>
  <si>
    <t>Es Buah</t>
  </si>
  <si>
    <t>Total</t>
  </si>
  <si>
    <t>Keterangan</t>
  </si>
  <si>
    <t>Perlengkapan, Administrasi dan Kesekretariatan</t>
  </si>
  <si>
    <t>Konsumsi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</si>
</sst>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Rp&quot;* #,##0_);_(&quot;Rp&quot;* \(#,##0\);_(&quot;Rp&quot;* &quot;-&quot;_);_(@_)"/>
    <numFmt numFmtId="164" formatCode="_-[$Rp-3809]* #,##0.00_-;\-[$Rp-3809]* #,##0.00_-;_-[$Rp-3809]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2" fontId="3" fillId="0" borderId="1" xfId="1" applyFont="1" applyBorder="1"/>
    <xf numFmtId="42" fontId="3" fillId="0" borderId="1" xfId="0" applyNumberFormat="1" applyFont="1" applyBorder="1"/>
    <xf numFmtId="42" fontId="2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5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center"/>
    </xf>
    <xf numFmtId="42" fontId="2" fillId="0" borderId="1" xfId="0" applyNumberFormat="1" applyFont="1" applyBorder="1"/>
    <xf numFmtId="42" fontId="3" fillId="0" borderId="1" xfId="1" applyFont="1" applyBorder="1" applyAlignment="1">
      <alignment horizontal="left"/>
    </xf>
    <xf numFmtId="42" fontId="2" fillId="0" borderId="1" xfId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42" fontId="2" fillId="0" borderId="1" xfId="1" applyFont="1" applyBorder="1" applyAlignment="1"/>
    <xf numFmtId="42" fontId="2" fillId="0" borderId="1" xfId="1" applyFont="1" applyBorder="1"/>
    <xf numFmtId="42" fontId="3" fillId="0" borderId="0" xfId="0" applyNumberFormat="1" applyFont="1"/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2" fontId="5" fillId="0" borderId="1" xfId="0" applyNumberFormat="1" applyFont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3"/>
  <sheetViews>
    <sheetView tabSelected="1" topLeftCell="A16" zoomScale="75" zoomScaleNormal="75" workbookViewId="0">
      <selection activeCell="M23" sqref="M23"/>
    </sheetView>
  </sheetViews>
  <sheetFormatPr defaultRowHeight="15.75" x14ac:dyDescent="0.25"/>
  <cols>
    <col min="1" max="1" width="6.140625" style="2" customWidth="1"/>
    <col min="2" max="2" width="44" style="2" customWidth="1"/>
    <col min="3" max="3" width="15.85546875" style="2" customWidth="1"/>
    <col min="4" max="4" width="16.85546875" style="2" customWidth="1"/>
    <col min="5" max="5" width="21.28515625" style="2" customWidth="1"/>
    <col min="6" max="6" width="23.7109375" style="2" customWidth="1"/>
    <col min="7" max="7" width="9.140625" style="2"/>
    <col min="8" max="8" width="13.85546875" style="2" bestFit="1" customWidth="1"/>
    <col min="9" max="9" width="14.5703125" style="2" bestFit="1" customWidth="1"/>
    <col min="10" max="16384" width="9.140625" style="2"/>
  </cols>
  <sheetData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1" x14ac:dyDescent="0.25">
      <c r="A3" s="22" t="s">
        <v>38</v>
      </c>
      <c r="B3" s="23"/>
      <c r="C3" s="23"/>
      <c r="D3" s="23"/>
      <c r="E3" s="23"/>
      <c r="F3" s="24"/>
    </row>
    <row r="4" spans="1:11" x14ac:dyDescent="0.25">
      <c r="A4" s="3">
        <v>1</v>
      </c>
      <c r="B4" s="4" t="s">
        <v>6</v>
      </c>
      <c r="C4" s="3">
        <v>1</v>
      </c>
      <c r="D4" s="3" t="s">
        <v>14</v>
      </c>
      <c r="E4" s="5">
        <v>150000</v>
      </c>
      <c r="F4" s="6">
        <f>(E4*C4)</f>
        <v>150000</v>
      </c>
    </row>
    <row r="5" spans="1:11" x14ac:dyDescent="0.25">
      <c r="A5" s="3">
        <v>2</v>
      </c>
      <c r="B5" s="4" t="s">
        <v>8</v>
      </c>
      <c r="C5" s="3">
        <v>2</v>
      </c>
      <c r="D5" s="3" t="s">
        <v>14</v>
      </c>
      <c r="E5" s="5">
        <v>10000</v>
      </c>
      <c r="F5" s="6">
        <f>(E5*C5)</f>
        <v>20000</v>
      </c>
    </row>
    <row r="6" spans="1:11" x14ac:dyDescent="0.25">
      <c r="A6" s="3">
        <v>3</v>
      </c>
      <c r="B6" s="4" t="s">
        <v>9</v>
      </c>
      <c r="C6" s="3">
        <v>1</v>
      </c>
      <c r="D6" s="3" t="s">
        <v>14</v>
      </c>
      <c r="E6" s="5">
        <v>10000</v>
      </c>
      <c r="F6" s="6">
        <f>(E6*C6)</f>
        <v>10000</v>
      </c>
    </row>
    <row r="7" spans="1:11" x14ac:dyDescent="0.25">
      <c r="A7" s="3">
        <v>5</v>
      </c>
      <c r="B7" s="4" t="s">
        <v>10</v>
      </c>
      <c r="C7" s="3">
        <v>30</v>
      </c>
      <c r="D7" s="3" t="s">
        <v>14</v>
      </c>
      <c r="E7" s="5">
        <v>5000</v>
      </c>
      <c r="F7" s="6">
        <f>(E7*C7)</f>
        <v>150000</v>
      </c>
    </row>
    <row r="8" spans="1:11" x14ac:dyDescent="0.25">
      <c r="A8" s="3">
        <v>6</v>
      </c>
      <c r="B8" s="4" t="s">
        <v>11</v>
      </c>
      <c r="C8" s="3">
        <v>5</v>
      </c>
      <c r="D8" s="3" t="s">
        <v>14</v>
      </c>
      <c r="E8" s="5">
        <v>5000</v>
      </c>
      <c r="F8" s="6">
        <f>(E8*C8)</f>
        <v>25000</v>
      </c>
    </row>
    <row r="9" spans="1:11" x14ac:dyDescent="0.25">
      <c r="A9" s="22" t="s">
        <v>29</v>
      </c>
      <c r="B9" s="23"/>
      <c r="C9" s="23"/>
      <c r="D9" s="23"/>
      <c r="E9" s="24"/>
      <c r="F9" s="7">
        <f>SUM(F4:F8)</f>
        <v>355000</v>
      </c>
    </row>
    <row r="10" spans="1:11" x14ac:dyDescent="0.25">
      <c r="A10" s="22" t="s">
        <v>39</v>
      </c>
      <c r="B10" s="23"/>
      <c r="C10" s="23"/>
      <c r="D10" s="23"/>
      <c r="E10" s="23"/>
      <c r="F10" s="24"/>
    </row>
    <row r="11" spans="1:11" x14ac:dyDescent="0.25">
      <c r="A11" s="3">
        <v>7</v>
      </c>
      <c r="B11" s="4" t="s">
        <v>7</v>
      </c>
      <c r="C11" s="3">
        <v>1</v>
      </c>
      <c r="D11" s="3" t="s">
        <v>15</v>
      </c>
      <c r="E11" s="5">
        <v>25000</v>
      </c>
      <c r="F11" s="6">
        <f t="shared" ref="F11" si="0">(E11*C11)</f>
        <v>25000</v>
      </c>
    </row>
    <row r="12" spans="1:11" x14ac:dyDescent="0.25">
      <c r="A12" s="3">
        <v>8</v>
      </c>
      <c r="B12" s="8" t="s">
        <v>17</v>
      </c>
      <c r="C12" s="3"/>
      <c r="D12" s="3"/>
      <c r="E12" s="5"/>
      <c r="F12" s="6"/>
    </row>
    <row r="13" spans="1:11" x14ac:dyDescent="0.25">
      <c r="A13" s="3"/>
      <c r="B13" s="4" t="s">
        <v>18</v>
      </c>
      <c r="C13" s="3">
        <v>1</v>
      </c>
      <c r="D13" s="3" t="s">
        <v>16</v>
      </c>
      <c r="E13" s="5">
        <v>5000</v>
      </c>
      <c r="F13" s="6">
        <f t="shared" ref="F13:F19" si="1">(E13*C13)</f>
        <v>5000</v>
      </c>
    </row>
    <row r="14" spans="1:11" x14ac:dyDescent="0.25">
      <c r="A14" s="3"/>
      <c r="B14" s="4" t="s">
        <v>19</v>
      </c>
      <c r="C14" s="3">
        <v>1</v>
      </c>
      <c r="D14" s="3" t="s">
        <v>16</v>
      </c>
      <c r="E14" s="5">
        <v>5000</v>
      </c>
      <c r="F14" s="6">
        <f t="shared" si="1"/>
        <v>5000</v>
      </c>
      <c r="K14" s="9"/>
    </row>
    <row r="15" spans="1:11" x14ac:dyDescent="0.25">
      <c r="A15" s="3"/>
      <c r="B15" s="10" t="s">
        <v>20</v>
      </c>
      <c r="C15" s="3">
        <v>2</v>
      </c>
      <c r="D15" s="3" t="s">
        <v>16</v>
      </c>
      <c r="E15" s="5">
        <v>5000</v>
      </c>
      <c r="F15" s="6">
        <f t="shared" si="1"/>
        <v>10000</v>
      </c>
    </row>
    <row r="16" spans="1:11" x14ac:dyDescent="0.25">
      <c r="A16" s="3"/>
      <c r="B16" s="10" t="s">
        <v>21</v>
      </c>
      <c r="C16" s="3">
        <v>8</v>
      </c>
      <c r="D16" s="3" t="s">
        <v>16</v>
      </c>
      <c r="E16" s="5">
        <v>5000</v>
      </c>
      <c r="F16" s="6">
        <f t="shared" si="1"/>
        <v>40000</v>
      </c>
    </row>
    <row r="17" spans="1:6" x14ac:dyDescent="0.25">
      <c r="A17" s="11">
        <v>9</v>
      </c>
      <c r="B17" s="4" t="s">
        <v>12</v>
      </c>
      <c r="C17" s="3">
        <v>1</v>
      </c>
      <c r="D17" s="3" t="s">
        <v>15</v>
      </c>
      <c r="E17" s="5">
        <v>20000</v>
      </c>
      <c r="F17" s="6">
        <f t="shared" si="1"/>
        <v>20000</v>
      </c>
    </row>
    <row r="18" spans="1:6" x14ac:dyDescent="0.25">
      <c r="A18" s="3">
        <v>10</v>
      </c>
      <c r="B18" s="4" t="s">
        <v>13</v>
      </c>
      <c r="C18" s="3">
        <v>1</v>
      </c>
      <c r="D18" s="3" t="s">
        <v>24</v>
      </c>
      <c r="E18" s="5">
        <v>55000</v>
      </c>
      <c r="F18" s="6">
        <f t="shared" si="1"/>
        <v>55000</v>
      </c>
    </row>
    <row r="19" spans="1:6" x14ac:dyDescent="0.25">
      <c r="A19" s="3">
        <v>11</v>
      </c>
      <c r="B19" s="12" t="s">
        <v>22</v>
      </c>
      <c r="C19" s="13">
        <v>1</v>
      </c>
      <c r="D19" s="3" t="s">
        <v>23</v>
      </c>
      <c r="E19" s="5">
        <v>200000</v>
      </c>
      <c r="F19" s="6">
        <f t="shared" si="1"/>
        <v>200000</v>
      </c>
    </row>
    <row r="20" spans="1:6" x14ac:dyDescent="0.25">
      <c r="A20" s="22" t="s">
        <v>25</v>
      </c>
      <c r="B20" s="23"/>
      <c r="C20" s="23"/>
      <c r="D20" s="23"/>
      <c r="E20" s="24"/>
      <c r="F20" s="14">
        <f>SUM(F11:F19)</f>
        <v>360000</v>
      </c>
    </row>
    <row r="21" spans="1:6" x14ac:dyDescent="0.25">
      <c r="A21" s="22" t="s">
        <v>40</v>
      </c>
      <c r="B21" s="23"/>
      <c r="C21" s="23"/>
      <c r="D21" s="23"/>
      <c r="E21" s="23"/>
      <c r="F21" s="24"/>
    </row>
    <row r="22" spans="1:6" x14ac:dyDescent="0.25">
      <c r="A22" s="22" t="s">
        <v>42</v>
      </c>
      <c r="B22" s="23"/>
      <c r="C22" s="23"/>
      <c r="D22" s="23"/>
      <c r="E22" s="23"/>
      <c r="F22" s="24"/>
    </row>
    <row r="23" spans="1:6" x14ac:dyDescent="0.25">
      <c r="A23" s="4">
        <v>12</v>
      </c>
      <c r="B23" s="4" t="s">
        <v>44</v>
      </c>
      <c r="C23" s="3">
        <v>2</v>
      </c>
      <c r="D23" s="3" t="s">
        <v>31</v>
      </c>
      <c r="E23" s="15">
        <v>15000</v>
      </c>
      <c r="F23" s="15">
        <f>(E23*C23)</f>
        <v>30000</v>
      </c>
    </row>
    <row r="24" spans="1:6" x14ac:dyDescent="0.25">
      <c r="A24" s="4">
        <v>13</v>
      </c>
      <c r="B24" s="4" t="s">
        <v>45</v>
      </c>
      <c r="C24" s="3">
        <v>1</v>
      </c>
      <c r="D24" s="3" t="s">
        <v>31</v>
      </c>
      <c r="E24" s="15">
        <v>15000</v>
      </c>
      <c r="F24" s="15">
        <f t="shared" ref="F24:F30" si="2">(E24*C24)</f>
        <v>15000</v>
      </c>
    </row>
    <row r="25" spans="1:6" x14ac:dyDescent="0.25">
      <c r="A25" s="4">
        <v>14</v>
      </c>
      <c r="B25" s="4" t="s">
        <v>46</v>
      </c>
      <c r="C25" s="3">
        <v>10</v>
      </c>
      <c r="D25" s="3" t="s">
        <v>31</v>
      </c>
      <c r="E25" s="15">
        <v>15000</v>
      </c>
      <c r="F25" s="15">
        <f t="shared" si="2"/>
        <v>150000</v>
      </c>
    </row>
    <row r="26" spans="1:6" x14ac:dyDescent="0.25">
      <c r="A26" s="4">
        <v>15</v>
      </c>
      <c r="B26" s="4" t="s">
        <v>47</v>
      </c>
      <c r="C26" s="3">
        <v>56</v>
      </c>
      <c r="D26" s="3" t="s">
        <v>31</v>
      </c>
      <c r="E26" s="15">
        <v>15000</v>
      </c>
      <c r="F26" s="15">
        <f t="shared" si="2"/>
        <v>840000</v>
      </c>
    </row>
    <row r="27" spans="1:6" x14ac:dyDescent="0.25">
      <c r="A27" s="4">
        <v>16</v>
      </c>
      <c r="B27" s="4" t="s">
        <v>37</v>
      </c>
      <c r="C27" s="3">
        <v>2</v>
      </c>
      <c r="D27" s="3" t="s">
        <v>52</v>
      </c>
      <c r="E27" s="15">
        <v>40000</v>
      </c>
      <c r="F27" s="15">
        <f t="shared" si="2"/>
        <v>80000</v>
      </c>
    </row>
    <row r="28" spans="1:6" x14ac:dyDescent="0.25">
      <c r="A28" s="4">
        <v>17</v>
      </c>
      <c r="B28" s="4" t="s">
        <v>48</v>
      </c>
      <c r="C28" s="3">
        <v>3</v>
      </c>
      <c r="D28" s="3" t="s">
        <v>49</v>
      </c>
      <c r="E28" s="15">
        <v>3000</v>
      </c>
      <c r="F28" s="15">
        <f t="shared" si="2"/>
        <v>9000</v>
      </c>
    </row>
    <row r="29" spans="1:6" x14ac:dyDescent="0.25">
      <c r="A29" s="4">
        <v>18</v>
      </c>
      <c r="B29" s="4" t="s">
        <v>50</v>
      </c>
      <c r="C29" s="3">
        <v>3</v>
      </c>
      <c r="D29" s="3" t="s">
        <v>31</v>
      </c>
      <c r="E29" s="15">
        <v>30000</v>
      </c>
      <c r="F29" s="15">
        <f t="shared" si="2"/>
        <v>90000</v>
      </c>
    </row>
    <row r="30" spans="1:6" x14ac:dyDescent="0.25">
      <c r="A30" s="21">
        <v>19</v>
      </c>
      <c r="B30" s="4" t="s">
        <v>54</v>
      </c>
      <c r="C30" s="3">
        <v>69</v>
      </c>
      <c r="D30" s="3" t="s">
        <v>36</v>
      </c>
      <c r="E30" s="15">
        <v>7000</v>
      </c>
      <c r="F30" s="15">
        <f t="shared" si="2"/>
        <v>483000</v>
      </c>
    </row>
    <row r="31" spans="1:6" x14ac:dyDescent="0.25">
      <c r="A31" s="22" t="s">
        <v>53</v>
      </c>
      <c r="B31" s="23"/>
      <c r="C31" s="23"/>
      <c r="D31" s="23"/>
      <c r="E31" s="24"/>
      <c r="F31" s="16">
        <f>SUM(F23:F30)</f>
        <v>1697000</v>
      </c>
    </row>
    <row r="32" spans="1:6" x14ac:dyDescent="0.25">
      <c r="A32" s="22" t="s">
        <v>43</v>
      </c>
      <c r="B32" s="23"/>
      <c r="C32" s="23"/>
      <c r="D32" s="23"/>
      <c r="E32" s="23"/>
      <c r="F32" s="24"/>
    </row>
    <row r="33" spans="1:9" x14ac:dyDescent="0.25">
      <c r="A33" s="3">
        <v>18</v>
      </c>
      <c r="B33" s="3" t="s">
        <v>30</v>
      </c>
      <c r="C33" s="3">
        <v>30</v>
      </c>
      <c r="D33" s="3" t="s">
        <v>31</v>
      </c>
      <c r="E33" s="17">
        <v>15000</v>
      </c>
      <c r="F33" s="15">
        <f>C33*E33</f>
        <v>450000</v>
      </c>
    </row>
    <row r="34" spans="1:9" x14ac:dyDescent="0.25">
      <c r="A34" s="3">
        <v>19</v>
      </c>
      <c r="B34" s="3" t="s">
        <v>32</v>
      </c>
      <c r="C34" s="3">
        <v>28</v>
      </c>
      <c r="D34" s="3" t="s">
        <v>31</v>
      </c>
      <c r="E34" s="17">
        <v>15000</v>
      </c>
      <c r="F34" s="15">
        <f t="shared" ref="F34:F38" si="3">C34*E34</f>
        <v>420000</v>
      </c>
    </row>
    <row r="35" spans="1:9" x14ac:dyDescent="0.25">
      <c r="A35" s="3">
        <v>20</v>
      </c>
      <c r="B35" s="3" t="s">
        <v>33</v>
      </c>
      <c r="C35" s="3">
        <v>5</v>
      </c>
      <c r="D35" s="3" t="s">
        <v>31</v>
      </c>
      <c r="E35" s="17">
        <v>15000</v>
      </c>
      <c r="F35" s="15">
        <f t="shared" si="3"/>
        <v>75000</v>
      </c>
    </row>
    <row r="36" spans="1:9" x14ac:dyDescent="0.25">
      <c r="A36" s="3">
        <v>21</v>
      </c>
      <c r="B36" s="3" t="s">
        <v>34</v>
      </c>
      <c r="C36" s="3">
        <v>3</v>
      </c>
      <c r="D36" s="3" t="s">
        <v>31</v>
      </c>
      <c r="E36" s="17">
        <v>30000</v>
      </c>
      <c r="F36" s="15">
        <f t="shared" si="3"/>
        <v>90000</v>
      </c>
    </row>
    <row r="37" spans="1:9" x14ac:dyDescent="0.25">
      <c r="A37" s="3">
        <v>22</v>
      </c>
      <c r="B37" s="3" t="s">
        <v>35</v>
      </c>
      <c r="C37" s="3">
        <v>63</v>
      </c>
      <c r="D37" s="3" t="s">
        <v>36</v>
      </c>
      <c r="E37" s="17">
        <v>7000</v>
      </c>
      <c r="F37" s="15">
        <f t="shared" si="3"/>
        <v>441000</v>
      </c>
    </row>
    <row r="38" spans="1:9" x14ac:dyDescent="0.25">
      <c r="A38" s="3">
        <v>23</v>
      </c>
      <c r="B38" s="3" t="s">
        <v>37</v>
      </c>
      <c r="C38" s="3">
        <v>2</v>
      </c>
      <c r="D38" s="3" t="s">
        <v>52</v>
      </c>
      <c r="E38" s="17">
        <v>40000</v>
      </c>
      <c r="F38" s="15">
        <f t="shared" si="3"/>
        <v>80000</v>
      </c>
    </row>
    <row r="39" spans="1:9" x14ac:dyDescent="0.25">
      <c r="A39" s="22" t="s">
        <v>51</v>
      </c>
      <c r="B39" s="23"/>
      <c r="C39" s="23"/>
      <c r="D39" s="23"/>
      <c r="E39" s="24"/>
      <c r="F39" s="18">
        <f>SUM(F33:F38)</f>
        <v>1556000</v>
      </c>
    </row>
    <row r="40" spans="1:9" x14ac:dyDescent="0.25">
      <c r="A40" s="22" t="s">
        <v>41</v>
      </c>
      <c r="B40" s="23"/>
      <c r="C40" s="23"/>
      <c r="D40" s="23"/>
      <c r="E40" s="24"/>
      <c r="F40" s="19">
        <f>SUM(F9,F20,F31,F39)</f>
        <v>3968000</v>
      </c>
      <c r="H40" s="20"/>
      <c r="I40" s="20"/>
    </row>
    <row r="41" spans="1:9" x14ac:dyDescent="0.25">
      <c r="A41" s="25" t="s">
        <v>26</v>
      </c>
      <c r="B41" s="26"/>
      <c r="C41" s="30" t="s">
        <v>55</v>
      </c>
      <c r="D41" s="31" t="s">
        <v>56</v>
      </c>
      <c r="E41" s="32"/>
      <c r="F41" s="33"/>
    </row>
    <row r="42" spans="1:9" x14ac:dyDescent="0.25">
      <c r="A42" s="34" t="s">
        <v>27</v>
      </c>
      <c r="B42" s="35"/>
      <c r="C42" s="36">
        <f>SUM(F9,F20)</f>
        <v>715000</v>
      </c>
      <c r="D42" s="27" t="s">
        <v>57</v>
      </c>
      <c r="E42" s="28"/>
      <c r="F42" s="29"/>
    </row>
    <row r="43" spans="1:9" x14ac:dyDescent="0.25">
      <c r="A43" s="34" t="s">
        <v>28</v>
      </c>
      <c r="B43" s="35"/>
      <c r="C43" s="36">
        <f>SUM(F31,F39)</f>
        <v>3253000</v>
      </c>
      <c r="D43" s="27" t="s">
        <v>58</v>
      </c>
      <c r="E43" s="28"/>
      <c r="F43" s="29"/>
    </row>
  </sheetData>
  <mergeCells count="16">
    <mergeCell ref="A3:F3"/>
    <mergeCell ref="A9:E9"/>
    <mergeCell ref="A21:F21"/>
    <mergeCell ref="A43:B43"/>
    <mergeCell ref="A10:F10"/>
    <mergeCell ref="A20:E20"/>
    <mergeCell ref="A41:B41"/>
    <mergeCell ref="A42:B42"/>
    <mergeCell ref="A40:E40"/>
    <mergeCell ref="A39:E39"/>
    <mergeCell ref="A22:F22"/>
    <mergeCell ref="A32:F32"/>
    <mergeCell ref="A31:E31"/>
    <mergeCell ref="D41:F41"/>
    <mergeCell ref="D42:F42"/>
    <mergeCell ref="D43:F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zya</dc:creator>
  <cp:lastModifiedBy>zya</cp:lastModifiedBy>
  <dcterms:created xsi:type="dcterms:W3CDTF">2023-04-05T13:10:39Z</dcterms:created>
  <dcterms:modified xsi:type="dcterms:W3CDTF">2023-04-07T15:51:49Z</dcterms:modified>
</cp:coreProperties>
</file>