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BEM\"/>
    </mc:Choice>
  </mc:AlternateContent>
  <xr:revisionPtr revIDLastSave="0" documentId="13_ncr:1_{B4E922A7-C731-4119-B36A-1077688E88C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3" l="1"/>
  <c r="M15" i="3" s="1"/>
  <c r="M11" i="3"/>
  <c r="M10" i="3"/>
  <c r="M9" i="3"/>
  <c r="M8" i="3"/>
  <c r="M7" i="3"/>
  <c r="F30" i="3"/>
  <c r="F27" i="3"/>
  <c r="F26" i="3"/>
  <c r="F25" i="3"/>
  <c r="F24" i="3"/>
  <c r="F23" i="3"/>
  <c r="F19" i="3"/>
  <c r="F18" i="3"/>
  <c r="F17" i="3"/>
  <c r="F16" i="3"/>
  <c r="F15" i="3"/>
  <c r="F14" i="3"/>
  <c r="F12" i="3"/>
  <c r="F9" i="3"/>
  <c r="F8" i="3"/>
  <c r="F7" i="3"/>
  <c r="F6" i="3"/>
  <c r="F33" i="2"/>
  <c r="F32" i="2"/>
  <c r="F31" i="2"/>
  <c r="F30" i="2"/>
  <c r="F29" i="2"/>
  <c r="F28" i="2"/>
  <c r="F27" i="2"/>
  <c r="F26" i="2"/>
  <c r="F25" i="2"/>
  <c r="F24" i="2"/>
  <c r="F23" i="2"/>
  <c r="F22" i="2"/>
  <c r="M10" i="2"/>
  <c r="M7" i="2"/>
  <c r="M6" i="2"/>
  <c r="M12" i="2" s="1"/>
  <c r="F13" i="2"/>
  <c r="F11" i="2"/>
  <c r="F10" i="2"/>
  <c r="F9" i="2"/>
  <c r="F8" i="2"/>
  <c r="F7" i="2"/>
  <c r="F6" i="2"/>
  <c r="H33" i="1"/>
  <c r="M12" i="3" l="1"/>
  <c r="M16" i="3" s="1"/>
  <c r="J18" i="3" s="1"/>
  <c r="F28" i="3"/>
  <c r="F10" i="3"/>
  <c r="F20" i="3"/>
  <c r="F31" i="3"/>
  <c r="M14" i="2"/>
  <c r="F12" i="2"/>
  <c r="F14" i="2" s="1"/>
  <c r="F30" i="1"/>
  <c r="F32" i="3" l="1"/>
  <c r="C36" i="3" s="1"/>
  <c r="C35" i="3"/>
  <c r="F27" i="1"/>
  <c r="F24" i="1"/>
  <c r="F25" i="1"/>
  <c r="F26" i="1"/>
  <c r="F28" i="1"/>
  <c r="F29" i="1"/>
  <c r="F23" i="1"/>
  <c r="F33" i="3" l="1"/>
  <c r="F31" i="1"/>
  <c r="F38" i="1"/>
  <c r="F37" i="1"/>
  <c r="F36" i="1"/>
  <c r="F35" i="1"/>
  <c r="F34" i="1"/>
  <c r="F33" i="1"/>
  <c r="F39" i="1" l="1"/>
  <c r="C43" i="1" s="1"/>
  <c r="F11" i="1"/>
  <c r="F5" i="1"/>
  <c r="F6" i="1"/>
  <c r="F7" i="1"/>
  <c r="F8" i="1"/>
  <c r="F13" i="1"/>
  <c r="F14" i="1"/>
  <c r="F15" i="1"/>
  <c r="F16" i="1"/>
  <c r="F17" i="1"/>
  <c r="F18" i="1"/>
  <c r="F19" i="1"/>
  <c r="F4" i="1"/>
  <c r="F9" i="1" l="1"/>
  <c r="F20" i="1"/>
  <c r="C42" i="1" l="1"/>
  <c r="F40" i="1"/>
</calcChain>
</file>

<file path=xl/sharedStrings.xml><?xml version="1.0" encoding="utf-8"?>
<sst xmlns="http://schemas.openxmlformats.org/spreadsheetml/2006/main" count="238" uniqueCount="92">
  <si>
    <t>No</t>
  </si>
  <si>
    <t>Uraian</t>
  </si>
  <si>
    <t>Volume</t>
  </si>
  <si>
    <t>Satuan</t>
  </si>
  <si>
    <t>Harga</t>
  </si>
  <si>
    <t>Jumlah</t>
  </si>
  <si>
    <t>Banner 3x2</t>
  </si>
  <si>
    <t>Stopmap</t>
  </si>
  <si>
    <t>Double Tape Hitam</t>
  </si>
  <si>
    <t>Double Tape Putih</t>
  </si>
  <si>
    <t>Id Card</t>
  </si>
  <si>
    <t>Stiker</t>
  </si>
  <si>
    <t>Pulpen</t>
  </si>
  <si>
    <t>HVS</t>
  </si>
  <si>
    <t>Pcs</t>
  </si>
  <si>
    <t>Pack</t>
  </si>
  <si>
    <t>Lembar</t>
  </si>
  <si>
    <t xml:space="preserve">Sertifikat </t>
  </si>
  <si>
    <t>GSC</t>
  </si>
  <si>
    <t>Panti Asuhan</t>
  </si>
  <si>
    <t>Juara</t>
  </si>
  <si>
    <t>Ormawa</t>
  </si>
  <si>
    <t>Honor Narasumber</t>
  </si>
  <si>
    <t>Orang</t>
  </si>
  <si>
    <t>Rim</t>
  </si>
  <si>
    <t>Total Administrasi dan Kesekretariatan</t>
  </si>
  <si>
    <t>Sumber Dana</t>
  </si>
  <si>
    <t>Dana DIPA</t>
  </si>
  <si>
    <t>DANA IOM</t>
  </si>
  <si>
    <t>Total Perlengkapan</t>
  </si>
  <si>
    <t xml:space="preserve">Konsumsi Panitia </t>
  </si>
  <si>
    <t>Dus</t>
  </si>
  <si>
    <t>Konsumsi Anak Panti</t>
  </si>
  <si>
    <t>Konsumsi Pengurus</t>
  </si>
  <si>
    <t xml:space="preserve">Air mineral </t>
  </si>
  <si>
    <t>Es buah</t>
  </si>
  <si>
    <t>Cup</t>
  </si>
  <si>
    <t>Buah Kurma</t>
  </si>
  <si>
    <t>I. PERLENGKAPAN</t>
  </si>
  <si>
    <t>II. ADMINISTRASI DAN KESEKRETARIATAN</t>
  </si>
  <si>
    <t>III. Konsumsi</t>
  </si>
  <si>
    <t>Total Seluruh Anggaran</t>
  </si>
  <si>
    <t>A. Konsumsi Internal</t>
  </si>
  <si>
    <t>B. Konsumsi Eksternal</t>
  </si>
  <si>
    <t>Tamu Undangan (Kampus)</t>
  </si>
  <si>
    <t>Tamu Undangan (GSC)</t>
  </si>
  <si>
    <t>Tamu Undangan (Al-Mustakim)</t>
  </si>
  <si>
    <t>Tamu Undangan (Ormawa, UKM)</t>
  </si>
  <si>
    <t>Air Mineral Botol</t>
  </si>
  <si>
    <t>Botol</t>
  </si>
  <si>
    <t>Air Mineral Gelas</t>
  </si>
  <si>
    <t>Total Anggaran Konsumsi Eksternal</t>
  </si>
  <si>
    <t>Kg</t>
  </si>
  <si>
    <t>Total Anggaran Konsumsi Internal</t>
  </si>
  <si>
    <t>Es Buah</t>
  </si>
  <si>
    <t>Total</t>
  </si>
  <si>
    <t>Keterangan</t>
  </si>
  <si>
    <t>Perlengkapan, Administrasi dan Kesekretariatan</t>
  </si>
  <si>
    <t>Konsumsi</t>
  </si>
  <si>
    <t>Tamu Undangan (Al-Mustaqim)</t>
  </si>
  <si>
    <t>Dana yang disetujui kampus</t>
  </si>
  <si>
    <t>Dana yang digunakan panitia</t>
  </si>
  <si>
    <t>Makan Berat Panitia</t>
  </si>
  <si>
    <t>Sisa Dana</t>
  </si>
  <si>
    <t>ALOKASI DANA IOM</t>
  </si>
  <si>
    <t xml:space="preserve">Banner </t>
  </si>
  <si>
    <t xml:space="preserve">Bucket </t>
  </si>
  <si>
    <t>Sumbangan ke Panti</t>
  </si>
  <si>
    <t>Jajan (Fun Game)</t>
  </si>
  <si>
    <t>Konsumsi AnakPanti</t>
  </si>
  <si>
    <t>Print</t>
  </si>
  <si>
    <t>Dana donasi yang terkumpul</t>
  </si>
  <si>
    <t>ALOKASI DANA DONASI</t>
  </si>
  <si>
    <t>ALOKASI DANA IURAN</t>
  </si>
  <si>
    <t>Nutrijel</t>
  </si>
  <si>
    <t>Susu Benderal 500 ML</t>
  </si>
  <si>
    <t>Gula Pasir 3/4 kg</t>
  </si>
  <si>
    <t>pcs</t>
  </si>
  <si>
    <t>Cup Aqua</t>
  </si>
  <si>
    <t>Refil Galon</t>
  </si>
  <si>
    <t>Konsum Internal</t>
  </si>
  <si>
    <t>Semangka</t>
  </si>
  <si>
    <t>Kurma</t>
  </si>
  <si>
    <t>Es Batu</t>
  </si>
  <si>
    <t>Buah</t>
  </si>
  <si>
    <t>Dana yang terkumpul</t>
  </si>
  <si>
    <t>Total Anngaran Perlengkapan</t>
  </si>
  <si>
    <t>Total Anggaran Administrasi dan Kesekretariatan</t>
  </si>
  <si>
    <t>Total Anngaran Konsumsi</t>
  </si>
  <si>
    <t>LPJ MIRACLE OF RAMADHAN (DANA DIPANYA DICANTUMKAN)</t>
  </si>
  <si>
    <t>Total Anggaran Konsumsi</t>
  </si>
  <si>
    <t>LPJ MIRACLE HANYA DANA IOMNYA SAJA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</si>
</sst>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-[$Rp-3809]* #,##0.00_-;\-[$Rp-3809]* #,##0.00_-;_-[$Rp-3809]* &quot;-&quot;??_-;_-@_-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1" applyFont="1" applyBorder="1"/>
    <xf numFmtId="164" fontId="3" fillId="0" borderId="1" xfId="0" applyNumberFormat="1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164" fontId="3" fillId="0" borderId="1" xfId="1" applyFont="1" applyBorder="1" applyAlignment="1">
      <alignment horizontal="left"/>
    </xf>
    <xf numFmtId="164" fontId="2" fillId="0" borderId="1" xfId="1" applyFont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164" fontId="2" fillId="0" borderId="1" xfId="1" applyFont="1" applyBorder="1" applyAlignment="1"/>
    <xf numFmtId="164" fontId="2" fillId="0" borderId="1" xfId="1" applyFont="1" applyBorder="1"/>
    <xf numFmtId="164" fontId="3" fillId="0" borderId="0" xfId="0" applyNumberFormat="1" applyFont="1"/>
    <xf numFmtId="0" fontId="3" fillId="0" borderId="2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64" fontId="5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2" fontId="3" fillId="0" borderId="1" xfId="1" applyNumberFormat="1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42" fontId="0" fillId="0" borderId="1" xfId="0" applyNumberFormat="1" applyBorder="1" applyAlignment="1">
      <alignment horizontal="center"/>
    </xf>
    <xf numFmtId="42" fontId="0" fillId="0" borderId="1" xfId="0" applyNumberFormat="1" applyBorder="1"/>
    <xf numFmtId="1" fontId="3" fillId="0" borderId="1" xfId="0" applyNumberFormat="1" applyFont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3"/>
  <sheetViews>
    <sheetView topLeftCell="A97" zoomScale="75" zoomScaleNormal="75" workbookViewId="0">
      <selection activeCell="B17" sqref="B17"/>
    </sheetView>
  </sheetViews>
  <sheetFormatPr defaultColWidth="9.1796875" defaultRowHeight="15.5" x14ac:dyDescent="0.35"/>
  <cols>
    <col min="1" max="1" width="6.1796875" style="2" customWidth="1"/>
    <col min="2" max="2" width="44" style="2" customWidth="1"/>
    <col min="3" max="3" width="15.81640625" style="2" customWidth="1"/>
    <col min="4" max="4" width="16.81640625" style="2" customWidth="1"/>
    <col min="5" max="5" width="21.26953125" style="2" customWidth="1"/>
    <col min="6" max="6" width="23.7265625" style="2" customWidth="1"/>
    <col min="7" max="7" width="9.1796875" style="2"/>
    <col min="8" max="8" width="13.81640625" style="2" bestFit="1" customWidth="1"/>
    <col min="9" max="9" width="14.54296875" style="2" bestFit="1" customWidth="1"/>
    <col min="10" max="16384" width="9.1796875" style="2"/>
  </cols>
  <sheetData>
    <row r="2" spans="1:1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11" x14ac:dyDescent="0.35">
      <c r="A3" s="37" t="s">
        <v>38</v>
      </c>
      <c r="B3" s="38"/>
      <c r="C3" s="38"/>
      <c r="D3" s="38"/>
      <c r="E3" s="38"/>
      <c r="F3" s="39"/>
    </row>
    <row r="4" spans="1:11" x14ac:dyDescent="0.35">
      <c r="A4" s="3">
        <v>1</v>
      </c>
      <c r="B4" s="4" t="s">
        <v>6</v>
      </c>
      <c r="C4" s="3">
        <v>1</v>
      </c>
      <c r="D4" s="3" t="s">
        <v>14</v>
      </c>
      <c r="E4" s="5">
        <v>150000</v>
      </c>
      <c r="F4" s="6">
        <f>(E4*C4)</f>
        <v>150000</v>
      </c>
    </row>
    <row r="5" spans="1:11" x14ac:dyDescent="0.35">
      <c r="A5" s="3">
        <v>2</v>
      </c>
      <c r="B5" s="4" t="s">
        <v>8</v>
      </c>
      <c r="C5" s="3">
        <v>2</v>
      </c>
      <c r="D5" s="3" t="s">
        <v>14</v>
      </c>
      <c r="E5" s="5">
        <v>10000</v>
      </c>
      <c r="F5" s="6">
        <f>(E5*C5)</f>
        <v>20000</v>
      </c>
    </row>
    <row r="6" spans="1:11" x14ac:dyDescent="0.35">
      <c r="A6" s="3">
        <v>3</v>
      </c>
      <c r="B6" s="4" t="s">
        <v>9</v>
      </c>
      <c r="C6" s="3">
        <v>1</v>
      </c>
      <c r="D6" s="3" t="s">
        <v>14</v>
      </c>
      <c r="E6" s="5">
        <v>10000</v>
      </c>
      <c r="F6" s="6">
        <f>(E6*C6)</f>
        <v>10000</v>
      </c>
    </row>
    <row r="7" spans="1:11" x14ac:dyDescent="0.35">
      <c r="A7" s="3">
        <v>5</v>
      </c>
      <c r="B7" s="4" t="s">
        <v>10</v>
      </c>
      <c r="C7" s="3">
        <v>30</v>
      </c>
      <c r="D7" s="3" t="s">
        <v>14</v>
      </c>
      <c r="E7" s="5">
        <v>5000</v>
      </c>
      <c r="F7" s="6">
        <f>(E7*C7)</f>
        <v>150000</v>
      </c>
    </row>
    <row r="8" spans="1:11" x14ac:dyDescent="0.35">
      <c r="A8" s="3">
        <v>6</v>
      </c>
      <c r="B8" s="4" t="s">
        <v>11</v>
      </c>
      <c r="C8" s="3">
        <v>5</v>
      </c>
      <c r="D8" s="3" t="s">
        <v>14</v>
      </c>
      <c r="E8" s="5">
        <v>5000</v>
      </c>
      <c r="F8" s="6">
        <f>(E8*C8)</f>
        <v>25000</v>
      </c>
    </row>
    <row r="9" spans="1:11" x14ac:dyDescent="0.35">
      <c r="A9" s="37" t="s">
        <v>29</v>
      </c>
      <c r="B9" s="38"/>
      <c r="C9" s="38"/>
      <c r="D9" s="38"/>
      <c r="E9" s="39"/>
      <c r="F9" s="7">
        <f>SUM(F4:F8)</f>
        <v>355000</v>
      </c>
    </row>
    <row r="10" spans="1:11" x14ac:dyDescent="0.35">
      <c r="A10" s="37" t="s">
        <v>39</v>
      </c>
      <c r="B10" s="38"/>
      <c r="C10" s="38"/>
      <c r="D10" s="38"/>
      <c r="E10" s="38"/>
      <c r="F10" s="39"/>
    </row>
    <row r="11" spans="1:11" x14ac:dyDescent="0.35">
      <c r="A11" s="3">
        <v>7</v>
      </c>
      <c r="B11" s="4" t="s">
        <v>7</v>
      </c>
      <c r="C11" s="3">
        <v>1</v>
      </c>
      <c r="D11" s="3" t="s">
        <v>15</v>
      </c>
      <c r="E11" s="5">
        <v>25000</v>
      </c>
      <c r="F11" s="6">
        <f t="shared" ref="F11" si="0">(E11*C11)</f>
        <v>25000</v>
      </c>
    </row>
    <row r="12" spans="1:11" x14ac:dyDescent="0.35">
      <c r="A12" s="3">
        <v>8</v>
      </c>
      <c r="B12" s="8" t="s">
        <v>17</v>
      </c>
      <c r="C12" s="3"/>
      <c r="D12" s="3"/>
      <c r="E12" s="5"/>
      <c r="F12" s="6"/>
    </row>
    <row r="13" spans="1:11" x14ac:dyDescent="0.35">
      <c r="A13" s="3"/>
      <c r="B13" s="4" t="s">
        <v>18</v>
      </c>
      <c r="C13" s="3">
        <v>1</v>
      </c>
      <c r="D13" s="3" t="s">
        <v>16</v>
      </c>
      <c r="E13" s="5">
        <v>5000</v>
      </c>
      <c r="F13" s="6">
        <f t="shared" ref="F13:F19" si="1">(E13*C13)</f>
        <v>5000</v>
      </c>
    </row>
    <row r="14" spans="1:11" x14ac:dyDescent="0.35">
      <c r="A14" s="3"/>
      <c r="B14" s="4" t="s">
        <v>19</v>
      </c>
      <c r="C14" s="3">
        <v>1</v>
      </c>
      <c r="D14" s="3" t="s">
        <v>16</v>
      </c>
      <c r="E14" s="5">
        <v>5000</v>
      </c>
      <c r="F14" s="6">
        <f t="shared" si="1"/>
        <v>5000</v>
      </c>
      <c r="K14" s="9"/>
    </row>
    <row r="15" spans="1:11" x14ac:dyDescent="0.35">
      <c r="A15" s="3"/>
      <c r="B15" s="4" t="s">
        <v>20</v>
      </c>
      <c r="C15" s="3">
        <v>2</v>
      </c>
      <c r="D15" s="3" t="s">
        <v>16</v>
      </c>
      <c r="E15" s="5">
        <v>5000</v>
      </c>
      <c r="F15" s="6">
        <f t="shared" si="1"/>
        <v>10000</v>
      </c>
    </row>
    <row r="16" spans="1:11" x14ac:dyDescent="0.35">
      <c r="A16" s="3"/>
      <c r="B16" s="4" t="s">
        <v>21</v>
      </c>
      <c r="C16" s="3">
        <v>8</v>
      </c>
      <c r="D16" s="3" t="s">
        <v>16</v>
      </c>
      <c r="E16" s="5">
        <v>5000</v>
      </c>
      <c r="F16" s="6">
        <f t="shared" si="1"/>
        <v>40000</v>
      </c>
    </row>
    <row r="17" spans="1:6" x14ac:dyDescent="0.35">
      <c r="A17" s="10">
        <v>9</v>
      </c>
      <c r="B17" s="4" t="s">
        <v>12</v>
      </c>
      <c r="C17" s="3">
        <v>1</v>
      </c>
      <c r="D17" s="3" t="s">
        <v>15</v>
      </c>
      <c r="E17" s="5">
        <v>20000</v>
      </c>
      <c r="F17" s="6">
        <f t="shared" si="1"/>
        <v>20000</v>
      </c>
    </row>
    <row r="18" spans="1:6" x14ac:dyDescent="0.35">
      <c r="A18" s="3">
        <v>10</v>
      </c>
      <c r="B18" s="4" t="s">
        <v>13</v>
      </c>
      <c r="C18" s="3">
        <v>1</v>
      </c>
      <c r="D18" s="3" t="s">
        <v>24</v>
      </c>
      <c r="E18" s="5">
        <v>55000</v>
      </c>
      <c r="F18" s="6">
        <f t="shared" si="1"/>
        <v>55000</v>
      </c>
    </row>
    <row r="19" spans="1:6" x14ac:dyDescent="0.35">
      <c r="A19" s="3">
        <v>11</v>
      </c>
      <c r="B19" s="11" t="s">
        <v>22</v>
      </c>
      <c r="C19" s="12">
        <v>1</v>
      </c>
      <c r="D19" s="3" t="s">
        <v>23</v>
      </c>
      <c r="E19" s="5">
        <v>200000</v>
      </c>
      <c r="F19" s="6">
        <f t="shared" si="1"/>
        <v>200000</v>
      </c>
    </row>
    <row r="20" spans="1:6" x14ac:dyDescent="0.35">
      <c r="A20" s="37" t="s">
        <v>25</v>
      </c>
      <c r="B20" s="38"/>
      <c r="C20" s="38"/>
      <c r="D20" s="38"/>
      <c r="E20" s="39"/>
      <c r="F20" s="7">
        <f>SUM(F11:F19)</f>
        <v>360000</v>
      </c>
    </row>
    <row r="21" spans="1:6" x14ac:dyDescent="0.35">
      <c r="A21" s="37" t="s">
        <v>40</v>
      </c>
      <c r="B21" s="38"/>
      <c r="C21" s="38"/>
      <c r="D21" s="38"/>
      <c r="E21" s="38"/>
      <c r="F21" s="39"/>
    </row>
    <row r="22" spans="1:6" x14ac:dyDescent="0.35">
      <c r="A22" s="37" t="s">
        <v>42</v>
      </c>
      <c r="B22" s="38"/>
      <c r="C22" s="38"/>
      <c r="D22" s="38"/>
      <c r="E22" s="38"/>
      <c r="F22" s="39"/>
    </row>
    <row r="23" spans="1:6" x14ac:dyDescent="0.35">
      <c r="A23" s="4">
        <v>12</v>
      </c>
      <c r="B23" s="4" t="s">
        <v>44</v>
      </c>
      <c r="C23" s="3">
        <v>2</v>
      </c>
      <c r="D23" s="3" t="s">
        <v>31</v>
      </c>
      <c r="E23" s="13">
        <v>15000</v>
      </c>
      <c r="F23" s="13">
        <f>(E23*C23)</f>
        <v>30000</v>
      </c>
    </row>
    <row r="24" spans="1:6" x14ac:dyDescent="0.35">
      <c r="A24" s="4">
        <v>13</v>
      </c>
      <c r="B24" s="4" t="s">
        <v>45</v>
      </c>
      <c r="C24" s="3">
        <v>1</v>
      </c>
      <c r="D24" s="3" t="s">
        <v>31</v>
      </c>
      <c r="E24" s="13">
        <v>15000</v>
      </c>
      <c r="F24" s="13">
        <f t="shared" ref="F24:F30" si="2">(E24*C24)</f>
        <v>15000</v>
      </c>
    </row>
    <row r="25" spans="1:6" x14ac:dyDescent="0.35">
      <c r="A25" s="4">
        <v>14</v>
      </c>
      <c r="B25" s="4" t="s">
        <v>46</v>
      </c>
      <c r="C25" s="3">
        <v>10</v>
      </c>
      <c r="D25" s="3" t="s">
        <v>31</v>
      </c>
      <c r="E25" s="13">
        <v>15000</v>
      </c>
      <c r="F25" s="13">
        <f t="shared" si="2"/>
        <v>150000</v>
      </c>
    </row>
    <row r="26" spans="1:6" x14ac:dyDescent="0.35">
      <c r="A26" s="4">
        <v>15</v>
      </c>
      <c r="B26" s="4" t="s">
        <v>47</v>
      </c>
      <c r="C26" s="3">
        <v>56</v>
      </c>
      <c r="D26" s="3" t="s">
        <v>31</v>
      </c>
      <c r="E26" s="13">
        <v>15000</v>
      </c>
      <c r="F26" s="13">
        <f t="shared" si="2"/>
        <v>840000</v>
      </c>
    </row>
    <row r="27" spans="1:6" x14ac:dyDescent="0.35">
      <c r="A27" s="4">
        <v>16</v>
      </c>
      <c r="B27" s="4" t="s">
        <v>37</v>
      </c>
      <c r="C27" s="3">
        <v>2</v>
      </c>
      <c r="D27" s="3" t="s">
        <v>52</v>
      </c>
      <c r="E27" s="13">
        <v>40000</v>
      </c>
      <c r="F27" s="13">
        <f t="shared" si="2"/>
        <v>80000</v>
      </c>
    </row>
    <row r="28" spans="1:6" x14ac:dyDescent="0.35">
      <c r="A28" s="4">
        <v>17</v>
      </c>
      <c r="B28" s="4" t="s">
        <v>48</v>
      </c>
      <c r="C28" s="3">
        <v>3</v>
      </c>
      <c r="D28" s="3" t="s">
        <v>49</v>
      </c>
      <c r="E28" s="13">
        <v>3000</v>
      </c>
      <c r="F28" s="13">
        <f t="shared" si="2"/>
        <v>9000</v>
      </c>
    </row>
    <row r="29" spans="1:6" x14ac:dyDescent="0.35">
      <c r="A29" s="4">
        <v>18</v>
      </c>
      <c r="B29" s="4" t="s">
        <v>50</v>
      </c>
      <c r="C29" s="3">
        <v>3</v>
      </c>
      <c r="D29" s="3" t="s">
        <v>31</v>
      </c>
      <c r="E29" s="13">
        <v>30000</v>
      </c>
      <c r="F29" s="13">
        <f t="shared" si="2"/>
        <v>90000</v>
      </c>
    </row>
    <row r="30" spans="1:6" x14ac:dyDescent="0.35">
      <c r="A30" s="19">
        <v>19</v>
      </c>
      <c r="B30" s="4" t="s">
        <v>54</v>
      </c>
      <c r="C30" s="3">
        <v>69</v>
      </c>
      <c r="D30" s="3" t="s">
        <v>36</v>
      </c>
      <c r="E30" s="13">
        <v>7000</v>
      </c>
      <c r="F30" s="13">
        <f t="shared" si="2"/>
        <v>483000</v>
      </c>
    </row>
    <row r="31" spans="1:6" x14ac:dyDescent="0.35">
      <c r="A31" s="37" t="s">
        <v>53</v>
      </c>
      <c r="B31" s="38"/>
      <c r="C31" s="38"/>
      <c r="D31" s="38"/>
      <c r="E31" s="39"/>
      <c r="F31" s="14">
        <f>SUM(F23:F30)</f>
        <v>1697000</v>
      </c>
    </row>
    <row r="32" spans="1:6" x14ac:dyDescent="0.35">
      <c r="A32" s="37" t="s">
        <v>43</v>
      </c>
      <c r="B32" s="38"/>
      <c r="C32" s="38"/>
      <c r="D32" s="38"/>
      <c r="E32" s="38"/>
      <c r="F32" s="39"/>
    </row>
    <row r="33" spans="1:9" x14ac:dyDescent="0.35">
      <c r="A33" s="3">
        <v>18</v>
      </c>
      <c r="B33" s="3" t="s">
        <v>30</v>
      </c>
      <c r="C33" s="3">
        <v>30</v>
      </c>
      <c r="D33" s="3" t="s">
        <v>31</v>
      </c>
      <c r="E33" s="15">
        <v>15000</v>
      </c>
      <c r="F33" s="13">
        <f>C33*E33</f>
        <v>450000</v>
      </c>
      <c r="H33" s="18">
        <f>F31+F39</f>
        <v>3253000</v>
      </c>
    </row>
    <row r="34" spans="1:9" x14ac:dyDescent="0.35">
      <c r="A34" s="3">
        <v>19</v>
      </c>
      <c r="B34" s="3" t="s">
        <v>32</v>
      </c>
      <c r="C34" s="3">
        <v>28</v>
      </c>
      <c r="D34" s="3" t="s">
        <v>31</v>
      </c>
      <c r="E34" s="15">
        <v>15000</v>
      </c>
      <c r="F34" s="13">
        <f t="shared" ref="F34:F38" si="3">C34*E34</f>
        <v>420000</v>
      </c>
    </row>
    <row r="35" spans="1:9" x14ac:dyDescent="0.35">
      <c r="A35" s="3">
        <v>20</v>
      </c>
      <c r="B35" s="3" t="s">
        <v>33</v>
      </c>
      <c r="C35" s="3">
        <v>5</v>
      </c>
      <c r="D35" s="3" t="s">
        <v>31</v>
      </c>
      <c r="E35" s="15">
        <v>15000</v>
      </c>
      <c r="F35" s="13">
        <f t="shared" si="3"/>
        <v>75000</v>
      </c>
    </row>
    <row r="36" spans="1:9" x14ac:dyDescent="0.35">
      <c r="A36" s="3">
        <v>21</v>
      </c>
      <c r="B36" s="3" t="s">
        <v>34</v>
      </c>
      <c r="C36" s="3">
        <v>3</v>
      </c>
      <c r="D36" s="3" t="s">
        <v>31</v>
      </c>
      <c r="E36" s="15">
        <v>30000</v>
      </c>
      <c r="F36" s="13">
        <f t="shared" si="3"/>
        <v>90000</v>
      </c>
    </row>
    <row r="37" spans="1:9" x14ac:dyDescent="0.35">
      <c r="A37" s="3">
        <v>22</v>
      </c>
      <c r="B37" s="3" t="s">
        <v>35</v>
      </c>
      <c r="C37" s="3">
        <v>63</v>
      </c>
      <c r="D37" s="3" t="s">
        <v>36</v>
      </c>
      <c r="E37" s="15">
        <v>7000</v>
      </c>
      <c r="F37" s="13">
        <f t="shared" si="3"/>
        <v>441000</v>
      </c>
    </row>
    <row r="38" spans="1:9" x14ac:dyDescent="0.35">
      <c r="A38" s="3">
        <v>23</v>
      </c>
      <c r="B38" s="3" t="s">
        <v>37</v>
      </c>
      <c r="C38" s="3">
        <v>2</v>
      </c>
      <c r="D38" s="3" t="s">
        <v>52</v>
      </c>
      <c r="E38" s="15">
        <v>40000</v>
      </c>
      <c r="F38" s="13">
        <f t="shared" si="3"/>
        <v>80000</v>
      </c>
    </row>
    <row r="39" spans="1:9" x14ac:dyDescent="0.35">
      <c r="A39" s="37" t="s">
        <v>51</v>
      </c>
      <c r="B39" s="38"/>
      <c r="C39" s="38"/>
      <c r="D39" s="38"/>
      <c r="E39" s="39"/>
      <c r="F39" s="16">
        <f>SUM(F33:F38)</f>
        <v>1556000</v>
      </c>
    </row>
    <row r="40" spans="1:9" x14ac:dyDescent="0.35">
      <c r="A40" s="37" t="s">
        <v>41</v>
      </c>
      <c r="B40" s="38"/>
      <c r="C40" s="38"/>
      <c r="D40" s="38"/>
      <c r="E40" s="39"/>
      <c r="F40" s="17">
        <f>SUM(F9,F20,F31,F39)</f>
        <v>3968000</v>
      </c>
      <c r="H40" s="18"/>
      <c r="I40" s="18"/>
    </row>
    <row r="41" spans="1:9" x14ac:dyDescent="0.35">
      <c r="A41" s="42" t="s">
        <v>26</v>
      </c>
      <c r="B41" s="43"/>
      <c r="C41" s="20" t="s">
        <v>55</v>
      </c>
      <c r="D41" s="44" t="s">
        <v>56</v>
      </c>
      <c r="E41" s="45"/>
      <c r="F41" s="46"/>
    </row>
    <row r="42" spans="1:9" x14ac:dyDescent="0.35">
      <c r="A42" s="40" t="s">
        <v>27</v>
      </c>
      <c r="B42" s="41"/>
      <c r="C42" s="21">
        <f>SUM(F9,F20)</f>
        <v>715000</v>
      </c>
      <c r="D42" s="47" t="s">
        <v>57</v>
      </c>
      <c r="E42" s="48"/>
      <c r="F42" s="49"/>
    </row>
    <row r="43" spans="1:9" x14ac:dyDescent="0.35">
      <c r="A43" s="40" t="s">
        <v>28</v>
      </c>
      <c r="B43" s="41"/>
      <c r="C43" s="21">
        <f>SUM(F31,F39)</f>
        <v>3253000</v>
      </c>
      <c r="D43" s="47" t="s">
        <v>58</v>
      </c>
      <c r="E43" s="48"/>
      <c r="F43" s="49"/>
    </row>
  </sheetData>
  <mergeCells count="16">
    <mergeCell ref="A3:F3"/>
    <mergeCell ref="A9:E9"/>
    <mergeCell ref="A21:F21"/>
    <mergeCell ref="A43:B43"/>
    <mergeCell ref="A10:F10"/>
    <mergeCell ref="A20:E20"/>
    <mergeCell ref="A41:B41"/>
    <mergeCell ref="A42:B42"/>
    <mergeCell ref="A40:E40"/>
    <mergeCell ref="A39:E39"/>
    <mergeCell ref="A22:F22"/>
    <mergeCell ref="A32:F32"/>
    <mergeCell ref="A31:E31"/>
    <mergeCell ref="D41:F41"/>
    <mergeCell ref="D42:F42"/>
    <mergeCell ref="D43:F4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F82F-9EF0-46B9-AA4B-744F0E9834D4}">
  <dimension ref="A2:M33"/>
  <sheetViews>
    <sheetView topLeftCell="A16" workbookViewId="0">
      <selection activeCell="I24" sqref="I24"/>
    </sheetView>
  </sheetViews>
  <sheetFormatPr defaultRowHeight="14.5" x14ac:dyDescent="0.35"/>
  <cols>
    <col min="1" max="1" width="4.54296875" customWidth="1"/>
    <col min="2" max="2" width="27.81640625" customWidth="1"/>
    <col min="5" max="5" width="18.26953125" customWidth="1"/>
    <col min="6" max="6" width="16.6328125" customWidth="1"/>
    <col min="8" max="8" width="6.90625" customWidth="1"/>
    <col min="9" max="9" width="23" customWidth="1"/>
    <col min="12" max="12" width="18.453125" customWidth="1"/>
    <col min="13" max="13" width="15.26953125" customWidth="1"/>
  </cols>
  <sheetData>
    <row r="2" spans="1:13" x14ac:dyDescent="0.35">
      <c r="A2" s="57" t="s">
        <v>64</v>
      </c>
      <c r="B2" s="57"/>
      <c r="C2" s="57"/>
      <c r="D2" s="57"/>
      <c r="E2" s="57"/>
      <c r="F2" s="57"/>
      <c r="H2" s="57" t="s">
        <v>72</v>
      </c>
      <c r="I2" s="57"/>
      <c r="J2" s="57"/>
      <c r="K2" s="57"/>
      <c r="L2" s="57"/>
      <c r="M2" s="57"/>
    </row>
    <row r="5" spans="1:13" ht="15.5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H5" s="1" t="s">
        <v>0</v>
      </c>
      <c r="I5" s="1" t="s">
        <v>1</v>
      </c>
      <c r="J5" s="1" t="s">
        <v>2</v>
      </c>
      <c r="K5" s="1" t="s">
        <v>3</v>
      </c>
      <c r="L5" s="1" t="s">
        <v>4</v>
      </c>
      <c r="M5" s="1" t="s">
        <v>5</v>
      </c>
    </row>
    <row r="6" spans="1:13" ht="15.5" x14ac:dyDescent="0.35">
      <c r="A6" s="22">
        <v>1</v>
      </c>
      <c r="B6" s="23" t="s">
        <v>44</v>
      </c>
      <c r="C6" s="22">
        <v>2</v>
      </c>
      <c r="D6" s="22" t="s">
        <v>31</v>
      </c>
      <c r="E6" s="24">
        <v>10000</v>
      </c>
      <c r="F6" s="25">
        <f>(E6*C6)</f>
        <v>20000</v>
      </c>
      <c r="H6" s="22">
        <v>1</v>
      </c>
      <c r="I6" s="23" t="s">
        <v>65</v>
      </c>
      <c r="J6" s="22">
        <v>1</v>
      </c>
      <c r="K6" s="22" t="s">
        <v>14</v>
      </c>
      <c r="L6" s="24">
        <v>150000</v>
      </c>
      <c r="M6" s="25">
        <f>(L6*J6)</f>
        <v>150000</v>
      </c>
    </row>
    <row r="7" spans="1:13" x14ac:dyDescent="0.35">
      <c r="A7" s="26">
        <v>2</v>
      </c>
      <c r="B7" s="27" t="s">
        <v>59</v>
      </c>
      <c r="C7" s="26">
        <v>8</v>
      </c>
      <c r="D7" s="26" t="s">
        <v>31</v>
      </c>
      <c r="E7" s="28">
        <v>10000</v>
      </c>
      <c r="F7" s="28">
        <f>E7*C7</f>
        <v>80000</v>
      </c>
      <c r="H7" s="26">
        <v>2</v>
      </c>
      <c r="I7" s="27" t="s">
        <v>66</v>
      </c>
      <c r="J7" s="26">
        <v>6</v>
      </c>
      <c r="K7" s="26" t="s">
        <v>14</v>
      </c>
      <c r="L7" s="28">
        <v>20000</v>
      </c>
      <c r="M7" s="28">
        <f>L7*J7</f>
        <v>120000</v>
      </c>
    </row>
    <row r="8" spans="1:13" x14ac:dyDescent="0.35">
      <c r="A8" s="26">
        <v>3</v>
      </c>
      <c r="B8" s="27" t="s">
        <v>47</v>
      </c>
      <c r="C8" s="26">
        <v>52</v>
      </c>
      <c r="D8" s="26" t="s">
        <v>31</v>
      </c>
      <c r="E8" s="28">
        <v>10000</v>
      </c>
      <c r="F8" s="28">
        <f>E8*C8</f>
        <v>520000</v>
      </c>
      <c r="H8" s="26">
        <v>3</v>
      </c>
      <c r="I8" s="51" t="s">
        <v>67</v>
      </c>
      <c r="J8" s="52"/>
      <c r="K8" s="52"/>
      <c r="L8" s="53"/>
      <c r="M8" s="28">
        <v>1200000</v>
      </c>
    </row>
    <row r="9" spans="1:13" x14ac:dyDescent="0.35">
      <c r="A9" s="29">
        <v>4</v>
      </c>
      <c r="B9" s="30" t="s">
        <v>48</v>
      </c>
      <c r="C9" s="29">
        <v>3</v>
      </c>
      <c r="D9" s="29" t="s">
        <v>49</v>
      </c>
      <c r="E9" s="31">
        <v>3000</v>
      </c>
      <c r="F9" s="31">
        <f>E9*C9</f>
        <v>9000</v>
      </c>
      <c r="H9" s="29">
        <v>4</v>
      </c>
      <c r="I9" s="30" t="s">
        <v>68</v>
      </c>
      <c r="J9" s="29">
        <v>2</v>
      </c>
      <c r="K9" s="29" t="s">
        <v>14</v>
      </c>
      <c r="L9" s="31">
        <v>25000</v>
      </c>
      <c r="M9" s="31">
        <v>50000</v>
      </c>
    </row>
    <row r="10" spans="1:13" x14ac:dyDescent="0.35">
      <c r="A10" s="29">
        <v>5</v>
      </c>
      <c r="B10" s="30" t="s">
        <v>50</v>
      </c>
      <c r="C10" s="29">
        <v>3</v>
      </c>
      <c r="D10" s="29" t="s">
        <v>31</v>
      </c>
      <c r="E10" s="31">
        <v>18000</v>
      </c>
      <c r="F10" s="31">
        <f>E10*C10</f>
        <v>54000</v>
      </c>
      <c r="H10" s="29">
        <v>5</v>
      </c>
      <c r="I10" s="30" t="s">
        <v>69</v>
      </c>
      <c r="J10" s="29">
        <v>32</v>
      </c>
      <c r="K10" s="29" t="s">
        <v>23</v>
      </c>
      <c r="L10" s="31">
        <v>10000</v>
      </c>
      <c r="M10" s="31">
        <f>L10*J10</f>
        <v>320000</v>
      </c>
    </row>
    <row r="11" spans="1:13" x14ac:dyDescent="0.35">
      <c r="A11" s="29">
        <v>6</v>
      </c>
      <c r="B11" s="30" t="s">
        <v>62</v>
      </c>
      <c r="C11" s="29">
        <v>30</v>
      </c>
      <c r="D11" s="29" t="s">
        <v>31</v>
      </c>
      <c r="E11" s="31">
        <v>10000</v>
      </c>
      <c r="F11" s="32">
        <f>E11*C11</f>
        <v>300000</v>
      </c>
      <c r="H11" s="29">
        <v>6</v>
      </c>
      <c r="I11" s="54" t="s">
        <v>70</v>
      </c>
      <c r="J11" s="55"/>
      <c r="K11" s="55"/>
      <c r="L11" s="56"/>
      <c r="M11" s="32">
        <v>129500</v>
      </c>
    </row>
    <row r="12" spans="1:13" x14ac:dyDescent="0.35">
      <c r="A12" s="50" t="s">
        <v>61</v>
      </c>
      <c r="B12" s="50"/>
      <c r="C12" s="50"/>
      <c r="D12" s="50"/>
      <c r="E12" s="50"/>
      <c r="F12" s="32">
        <f>SUM(F6:F11)</f>
        <v>983000</v>
      </c>
      <c r="H12" s="50" t="s">
        <v>61</v>
      </c>
      <c r="I12" s="50"/>
      <c r="J12" s="50"/>
      <c r="K12" s="50"/>
      <c r="L12" s="50"/>
      <c r="M12" s="32">
        <f>SUM(M6:M11)</f>
        <v>1969500</v>
      </c>
    </row>
    <row r="13" spans="1:13" x14ac:dyDescent="0.35">
      <c r="A13" s="50" t="s">
        <v>60</v>
      </c>
      <c r="B13" s="50"/>
      <c r="C13" s="50"/>
      <c r="D13" s="50"/>
      <c r="E13" s="50"/>
      <c r="F13" s="32">
        <f>995000</f>
        <v>995000</v>
      </c>
      <c r="H13" s="50" t="s">
        <v>71</v>
      </c>
      <c r="I13" s="50"/>
      <c r="J13" s="50"/>
      <c r="K13" s="50"/>
      <c r="L13" s="50"/>
      <c r="M13" s="32">
        <v>2080000</v>
      </c>
    </row>
    <row r="14" spans="1:13" x14ac:dyDescent="0.35">
      <c r="A14" s="50" t="s">
        <v>63</v>
      </c>
      <c r="B14" s="50"/>
      <c r="C14" s="50"/>
      <c r="D14" s="50"/>
      <c r="E14" s="50"/>
      <c r="F14" s="32">
        <f>F13-F12</f>
        <v>12000</v>
      </c>
      <c r="H14" s="50" t="s">
        <v>63</v>
      </c>
      <c r="I14" s="50"/>
      <c r="J14" s="50"/>
      <c r="K14" s="50"/>
      <c r="L14" s="50"/>
      <c r="M14" s="32">
        <f>M13-M12</f>
        <v>110500</v>
      </c>
    </row>
    <row r="18" spans="1:6" x14ac:dyDescent="0.35">
      <c r="A18" s="57" t="s">
        <v>73</v>
      </c>
      <c r="B18" s="57"/>
      <c r="C18" s="57"/>
      <c r="D18" s="57"/>
      <c r="E18" s="57"/>
      <c r="F18" s="57"/>
    </row>
    <row r="21" spans="1:6" ht="15.5" x14ac:dyDescent="0.3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ht="15.5" x14ac:dyDescent="0.35">
      <c r="A22" s="22">
        <v>1</v>
      </c>
      <c r="B22" s="23" t="s">
        <v>74</v>
      </c>
      <c r="C22" s="33">
        <v>12</v>
      </c>
      <c r="D22" s="22" t="s">
        <v>14</v>
      </c>
      <c r="E22" s="24">
        <v>1575</v>
      </c>
      <c r="F22" s="25">
        <f>(E22*C22)</f>
        <v>18900</v>
      </c>
    </row>
    <row r="23" spans="1:6" x14ac:dyDescent="0.35">
      <c r="A23" s="26">
        <v>2</v>
      </c>
      <c r="B23" s="27" t="s">
        <v>76</v>
      </c>
      <c r="C23" s="34">
        <v>1</v>
      </c>
      <c r="D23" s="26" t="s">
        <v>77</v>
      </c>
      <c r="E23" s="28">
        <v>13900</v>
      </c>
      <c r="F23" s="28">
        <f t="shared" ref="F23:F30" si="0">E23*C23</f>
        <v>13900</v>
      </c>
    </row>
    <row r="24" spans="1:6" x14ac:dyDescent="0.35">
      <c r="A24" s="26">
        <v>3</v>
      </c>
      <c r="B24" s="27" t="s">
        <v>75</v>
      </c>
      <c r="C24" s="35">
        <v>2</v>
      </c>
      <c r="D24" s="26" t="s">
        <v>14</v>
      </c>
      <c r="E24" s="28">
        <v>16500</v>
      </c>
      <c r="F24" s="28">
        <f t="shared" si="0"/>
        <v>33000</v>
      </c>
    </row>
    <row r="25" spans="1:6" x14ac:dyDescent="0.35">
      <c r="A25" s="29">
        <v>4</v>
      </c>
      <c r="B25" s="30" t="s">
        <v>78</v>
      </c>
      <c r="C25" s="36">
        <v>1</v>
      </c>
      <c r="D25" s="29" t="s">
        <v>14</v>
      </c>
      <c r="E25" s="31">
        <v>14000</v>
      </c>
      <c r="F25" s="31">
        <f t="shared" si="0"/>
        <v>14000</v>
      </c>
    </row>
    <row r="26" spans="1:6" x14ac:dyDescent="0.35">
      <c r="A26" s="29">
        <v>5</v>
      </c>
      <c r="B26" s="30" t="s">
        <v>79</v>
      </c>
      <c r="C26" s="36">
        <v>1</v>
      </c>
      <c r="D26" s="29" t="s">
        <v>14</v>
      </c>
      <c r="E26" s="31">
        <v>8000</v>
      </c>
      <c r="F26" s="31">
        <f t="shared" si="0"/>
        <v>8000</v>
      </c>
    </row>
    <row r="27" spans="1:6" x14ac:dyDescent="0.35">
      <c r="A27" s="29">
        <v>6</v>
      </c>
      <c r="B27" s="30" t="s">
        <v>80</v>
      </c>
      <c r="C27" s="36">
        <v>37</v>
      </c>
      <c r="D27" s="29" t="s">
        <v>31</v>
      </c>
      <c r="E27" s="31">
        <v>10000</v>
      </c>
      <c r="F27" s="32">
        <f t="shared" si="0"/>
        <v>370000</v>
      </c>
    </row>
    <row r="28" spans="1:6" x14ac:dyDescent="0.35">
      <c r="A28" s="29">
        <v>7</v>
      </c>
      <c r="B28" s="30" t="s">
        <v>81</v>
      </c>
      <c r="C28" s="36">
        <v>1</v>
      </c>
      <c r="D28" s="29" t="s">
        <v>84</v>
      </c>
      <c r="E28" s="31">
        <v>83000</v>
      </c>
      <c r="F28" s="32">
        <f t="shared" si="0"/>
        <v>83000</v>
      </c>
    </row>
    <row r="29" spans="1:6" x14ac:dyDescent="0.35">
      <c r="A29" s="29">
        <v>8</v>
      </c>
      <c r="B29" s="30" t="s">
        <v>82</v>
      </c>
      <c r="C29" s="36">
        <v>1</v>
      </c>
      <c r="D29" s="29" t="s">
        <v>52</v>
      </c>
      <c r="E29" s="31">
        <v>33000</v>
      </c>
      <c r="F29" s="32">
        <f t="shared" si="0"/>
        <v>33000</v>
      </c>
    </row>
    <row r="30" spans="1:6" x14ac:dyDescent="0.35">
      <c r="A30" s="29">
        <v>9</v>
      </c>
      <c r="B30" s="30" t="s">
        <v>83</v>
      </c>
      <c r="C30" s="36">
        <v>1</v>
      </c>
      <c r="D30" s="29" t="s">
        <v>14</v>
      </c>
      <c r="E30" s="31">
        <v>17000</v>
      </c>
      <c r="F30" s="32">
        <f t="shared" si="0"/>
        <v>17000</v>
      </c>
    </row>
    <row r="31" spans="1:6" x14ac:dyDescent="0.35">
      <c r="A31" s="50" t="s">
        <v>61</v>
      </c>
      <c r="B31" s="50"/>
      <c r="C31" s="50"/>
      <c r="D31" s="50"/>
      <c r="E31" s="50"/>
      <c r="F31" s="32">
        <f>SUM(F22:F30)</f>
        <v>590800</v>
      </c>
    </row>
    <row r="32" spans="1:6" x14ac:dyDescent="0.35">
      <c r="A32" s="50" t="s">
        <v>85</v>
      </c>
      <c r="B32" s="50"/>
      <c r="C32" s="50"/>
      <c r="D32" s="50"/>
      <c r="E32" s="50"/>
      <c r="F32" s="32">
        <f>600000</f>
        <v>600000</v>
      </c>
    </row>
    <row r="33" spans="1:6" x14ac:dyDescent="0.35">
      <c r="A33" s="50" t="s">
        <v>63</v>
      </c>
      <c r="B33" s="50"/>
      <c r="C33" s="50"/>
      <c r="D33" s="50"/>
      <c r="E33" s="50"/>
      <c r="F33" s="32">
        <f>F32-F31</f>
        <v>9200</v>
      </c>
    </row>
  </sheetData>
  <mergeCells count="14">
    <mergeCell ref="A2:F2"/>
    <mergeCell ref="H2:M2"/>
    <mergeCell ref="H12:L12"/>
    <mergeCell ref="A32:E32"/>
    <mergeCell ref="A33:E33"/>
    <mergeCell ref="H13:L13"/>
    <mergeCell ref="H14:L14"/>
    <mergeCell ref="I8:L8"/>
    <mergeCell ref="I11:L11"/>
    <mergeCell ref="A18:F18"/>
    <mergeCell ref="A31:E31"/>
    <mergeCell ref="A12:E12"/>
    <mergeCell ref="A13:E13"/>
    <mergeCell ref="A14:E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A4CB-8C06-4BA4-BDFC-7755F67A2DA8}">
  <dimension ref="A2:M36"/>
  <sheetViews>
    <sheetView tabSelected="1" topLeftCell="E2" workbookViewId="0">
      <selection activeCell="M15" sqref="M15"/>
    </sheetView>
  </sheetViews>
  <sheetFormatPr defaultRowHeight="14.5" x14ac:dyDescent="0.35"/>
  <cols>
    <col min="1" max="1" width="6.26953125" customWidth="1"/>
    <col min="2" max="2" width="31.81640625" customWidth="1"/>
    <col min="3" max="3" width="19.08984375" customWidth="1"/>
    <col min="5" max="5" width="18.36328125" customWidth="1"/>
    <col min="6" max="6" width="21.08984375" customWidth="1"/>
    <col min="8" max="8" width="4.08984375" customWidth="1"/>
    <col min="9" max="9" width="34.453125" customWidth="1"/>
    <col min="10" max="10" width="12.6328125" customWidth="1"/>
    <col min="12" max="12" width="17.54296875" customWidth="1"/>
    <col min="13" max="13" width="18" customWidth="1"/>
  </cols>
  <sheetData>
    <row r="2" spans="1:13" x14ac:dyDescent="0.35">
      <c r="B2" s="57" t="s">
        <v>89</v>
      </c>
      <c r="C2" s="57"/>
      <c r="D2" s="57"/>
      <c r="E2" s="57"/>
      <c r="F2" s="57"/>
      <c r="I2" s="57" t="s">
        <v>91</v>
      </c>
      <c r="J2" s="57"/>
      <c r="K2" s="57"/>
      <c r="L2" s="57"/>
      <c r="M2" s="57"/>
    </row>
    <row r="4" spans="1:13" ht="15.5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H4" s="1" t="s">
        <v>0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</row>
    <row r="5" spans="1:13" ht="15.5" x14ac:dyDescent="0.35">
      <c r="A5" s="37" t="s">
        <v>38</v>
      </c>
      <c r="B5" s="38"/>
      <c r="C5" s="38"/>
      <c r="D5" s="38"/>
      <c r="E5" s="38"/>
      <c r="F5" s="39"/>
      <c r="H5" s="37" t="s">
        <v>40</v>
      </c>
      <c r="I5" s="38"/>
      <c r="J5" s="38"/>
      <c r="K5" s="38"/>
      <c r="L5" s="38"/>
      <c r="M5" s="39"/>
    </row>
    <row r="6" spans="1:13" ht="15.5" x14ac:dyDescent="0.35">
      <c r="A6" s="3">
        <v>1</v>
      </c>
      <c r="B6" s="4" t="s">
        <v>6</v>
      </c>
      <c r="C6" s="3">
        <v>1</v>
      </c>
      <c r="D6" s="3" t="s">
        <v>14</v>
      </c>
      <c r="E6" s="5">
        <v>150000</v>
      </c>
      <c r="F6" s="6">
        <f>(E6*C6)</f>
        <v>150000</v>
      </c>
      <c r="H6" s="37" t="s">
        <v>42</v>
      </c>
      <c r="I6" s="38"/>
      <c r="J6" s="38"/>
      <c r="K6" s="38"/>
      <c r="L6" s="38"/>
      <c r="M6" s="39"/>
    </row>
    <row r="7" spans="1:13" ht="15.5" x14ac:dyDescent="0.35">
      <c r="A7" s="3">
        <v>2</v>
      </c>
      <c r="B7" s="4" t="s">
        <v>9</v>
      </c>
      <c r="C7" s="3">
        <v>1</v>
      </c>
      <c r="D7" s="3" t="s">
        <v>14</v>
      </c>
      <c r="E7" s="5">
        <v>10000</v>
      </c>
      <c r="F7" s="6">
        <f>(E7*C7)</f>
        <v>10000</v>
      </c>
      <c r="H7" s="3">
        <v>1</v>
      </c>
      <c r="I7" s="4" t="s">
        <v>44</v>
      </c>
      <c r="J7" s="3">
        <v>2</v>
      </c>
      <c r="K7" s="3" t="s">
        <v>31</v>
      </c>
      <c r="L7" s="13">
        <v>10000</v>
      </c>
      <c r="M7" s="13">
        <f>(L7*J7)</f>
        <v>20000</v>
      </c>
    </row>
    <row r="8" spans="1:13" ht="15.5" x14ac:dyDescent="0.35">
      <c r="A8" s="3">
        <v>3</v>
      </c>
      <c r="B8" s="4" t="s">
        <v>10</v>
      </c>
      <c r="C8" s="3">
        <v>30</v>
      </c>
      <c r="D8" s="3" t="s">
        <v>14</v>
      </c>
      <c r="E8" s="5">
        <v>5000</v>
      </c>
      <c r="F8" s="6">
        <f>(E8*C8)</f>
        <v>150000</v>
      </c>
      <c r="H8" s="3">
        <v>2</v>
      </c>
      <c r="I8" s="4" t="s">
        <v>46</v>
      </c>
      <c r="J8" s="3">
        <v>8</v>
      </c>
      <c r="K8" s="3" t="s">
        <v>31</v>
      </c>
      <c r="L8" s="13">
        <v>10000</v>
      </c>
      <c r="M8" s="13">
        <f t="shared" ref="M8:M11" si="0">(L8*J8)</f>
        <v>80000</v>
      </c>
    </row>
    <row r="9" spans="1:13" ht="15.5" x14ac:dyDescent="0.35">
      <c r="A9" s="3">
        <v>4</v>
      </c>
      <c r="B9" s="4" t="s">
        <v>11</v>
      </c>
      <c r="C9" s="3">
        <v>5</v>
      </c>
      <c r="D9" s="3" t="s">
        <v>14</v>
      </c>
      <c r="E9" s="5">
        <v>5000</v>
      </c>
      <c r="F9" s="6">
        <f>(E9*C9)</f>
        <v>25000</v>
      </c>
      <c r="H9" s="3">
        <v>3</v>
      </c>
      <c r="I9" s="4" t="s">
        <v>47</v>
      </c>
      <c r="J9" s="3">
        <v>52</v>
      </c>
      <c r="K9" s="3" t="s">
        <v>31</v>
      </c>
      <c r="L9" s="13">
        <v>10000</v>
      </c>
      <c r="M9" s="13">
        <f t="shared" si="0"/>
        <v>520000</v>
      </c>
    </row>
    <row r="10" spans="1:13" ht="15.5" x14ac:dyDescent="0.35">
      <c r="A10" s="42" t="s">
        <v>86</v>
      </c>
      <c r="B10" s="61"/>
      <c r="C10" s="61"/>
      <c r="D10" s="61"/>
      <c r="E10" s="43"/>
      <c r="F10" s="7">
        <f>SUM(F6:F9)</f>
        <v>335000</v>
      </c>
      <c r="H10" s="3">
        <v>4</v>
      </c>
      <c r="I10" s="4" t="s">
        <v>48</v>
      </c>
      <c r="J10" s="3">
        <v>3</v>
      </c>
      <c r="K10" s="3" t="s">
        <v>49</v>
      </c>
      <c r="L10" s="13">
        <v>3000</v>
      </c>
      <c r="M10" s="13">
        <f t="shared" si="0"/>
        <v>9000</v>
      </c>
    </row>
    <row r="11" spans="1:13" ht="15.5" x14ac:dyDescent="0.35">
      <c r="A11" s="37" t="s">
        <v>39</v>
      </c>
      <c r="B11" s="38"/>
      <c r="C11" s="38"/>
      <c r="D11" s="38"/>
      <c r="E11" s="38"/>
      <c r="F11" s="39"/>
      <c r="H11" s="3">
        <v>5</v>
      </c>
      <c r="I11" s="4" t="s">
        <v>50</v>
      </c>
      <c r="J11" s="3">
        <v>3</v>
      </c>
      <c r="K11" s="3" t="s">
        <v>31</v>
      </c>
      <c r="L11" s="13">
        <v>22000</v>
      </c>
      <c r="M11" s="13">
        <f t="shared" si="0"/>
        <v>66000</v>
      </c>
    </row>
    <row r="12" spans="1:13" ht="15.5" x14ac:dyDescent="0.35">
      <c r="A12" s="3">
        <v>1</v>
      </c>
      <c r="B12" s="4" t="s">
        <v>7</v>
      </c>
      <c r="C12" s="3">
        <v>1</v>
      </c>
      <c r="D12" s="3" t="s">
        <v>15</v>
      </c>
      <c r="E12" s="5">
        <v>25000</v>
      </c>
      <c r="F12" s="6">
        <f t="shared" ref="F12" si="1">(E12*C12)</f>
        <v>25000</v>
      </c>
      <c r="H12" s="42" t="s">
        <v>53</v>
      </c>
      <c r="I12" s="61"/>
      <c r="J12" s="61"/>
      <c r="K12" s="61"/>
      <c r="L12" s="43"/>
      <c r="M12" s="14">
        <f>SUM(M7:M11)</f>
        <v>695000</v>
      </c>
    </row>
    <row r="13" spans="1:13" ht="15.5" x14ac:dyDescent="0.35">
      <c r="A13" s="58">
        <v>2</v>
      </c>
      <c r="B13" s="37" t="s">
        <v>17</v>
      </c>
      <c r="C13" s="38"/>
      <c r="D13" s="38"/>
      <c r="E13" s="38"/>
      <c r="F13" s="39"/>
      <c r="H13" s="37" t="s">
        <v>43</v>
      </c>
      <c r="I13" s="38"/>
      <c r="J13" s="38"/>
      <c r="K13" s="38"/>
      <c r="L13" s="38"/>
      <c r="M13" s="39"/>
    </row>
    <row r="14" spans="1:13" ht="15.5" x14ac:dyDescent="0.35">
      <c r="A14" s="59"/>
      <c r="B14" s="4" t="s">
        <v>18</v>
      </c>
      <c r="C14" s="3">
        <v>1</v>
      </c>
      <c r="D14" s="3" t="s">
        <v>16</v>
      </c>
      <c r="E14" s="5">
        <v>5000</v>
      </c>
      <c r="F14" s="6">
        <f t="shared" ref="F14:F19" si="2">(E14*C14)</f>
        <v>5000</v>
      </c>
      <c r="H14" s="3">
        <v>1</v>
      </c>
      <c r="I14" s="4" t="s">
        <v>30</v>
      </c>
      <c r="J14" s="3">
        <v>30</v>
      </c>
      <c r="K14" s="3" t="s">
        <v>31</v>
      </c>
      <c r="L14" s="15">
        <v>10000</v>
      </c>
      <c r="M14" s="13">
        <f>J14*L14</f>
        <v>300000</v>
      </c>
    </row>
    <row r="15" spans="1:13" ht="15.5" x14ac:dyDescent="0.35">
      <c r="A15" s="59"/>
      <c r="B15" s="4" t="s">
        <v>19</v>
      </c>
      <c r="C15" s="3">
        <v>1</v>
      </c>
      <c r="D15" s="3" t="s">
        <v>16</v>
      </c>
      <c r="E15" s="5">
        <v>5000</v>
      </c>
      <c r="F15" s="6">
        <f t="shared" si="2"/>
        <v>5000</v>
      </c>
      <c r="H15" s="42" t="s">
        <v>51</v>
      </c>
      <c r="I15" s="61"/>
      <c r="J15" s="61"/>
      <c r="K15" s="61"/>
      <c r="L15" s="43"/>
      <c r="M15" s="16">
        <f>SUM(M14:M14)</f>
        <v>300000</v>
      </c>
    </row>
    <row r="16" spans="1:13" ht="15.5" x14ac:dyDescent="0.35">
      <c r="A16" s="59"/>
      <c r="B16" s="4" t="s">
        <v>20</v>
      </c>
      <c r="C16" s="3">
        <v>2</v>
      </c>
      <c r="D16" s="3" t="s">
        <v>16</v>
      </c>
      <c r="E16" s="5">
        <v>5000</v>
      </c>
      <c r="F16" s="6">
        <f t="shared" si="2"/>
        <v>10000</v>
      </c>
      <c r="H16" s="42" t="s">
        <v>90</v>
      </c>
      <c r="I16" s="61"/>
      <c r="J16" s="61"/>
      <c r="K16" s="61"/>
      <c r="L16" s="43"/>
      <c r="M16" s="16">
        <f>M15+M12</f>
        <v>995000</v>
      </c>
    </row>
    <row r="17" spans="1:13" ht="15.5" x14ac:dyDescent="0.35">
      <c r="A17" s="60"/>
      <c r="B17" s="4" t="s">
        <v>21</v>
      </c>
      <c r="C17" s="3">
        <v>8</v>
      </c>
      <c r="D17" s="3" t="s">
        <v>16</v>
      </c>
      <c r="E17" s="5">
        <v>5000</v>
      </c>
      <c r="F17" s="6">
        <f t="shared" si="2"/>
        <v>40000</v>
      </c>
      <c r="H17" s="42" t="s">
        <v>26</v>
      </c>
      <c r="I17" s="43"/>
      <c r="J17" s="20" t="s">
        <v>55</v>
      </c>
      <c r="K17" s="44" t="s">
        <v>56</v>
      </c>
      <c r="L17" s="45"/>
      <c r="M17" s="46"/>
    </row>
    <row r="18" spans="1:13" ht="15.5" x14ac:dyDescent="0.35">
      <c r="A18" s="10">
        <v>3</v>
      </c>
      <c r="B18" s="4" t="s">
        <v>12</v>
      </c>
      <c r="C18" s="3">
        <v>1</v>
      </c>
      <c r="D18" s="3" t="s">
        <v>15</v>
      </c>
      <c r="E18" s="5">
        <v>20000</v>
      </c>
      <c r="F18" s="6">
        <f t="shared" si="2"/>
        <v>20000</v>
      </c>
      <c r="H18" s="40" t="s">
        <v>28</v>
      </c>
      <c r="I18" s="41"/>
      <c r="J18" s="21">
        <f>M16</f>
        <v>995000</v>
      </c>
      <c r="K18" s="47" t="s">
        <v>58</v>
      </c>
      <c r="L18" s="48"/>
      <c r="M18" s="49"/>
    </row>
    <row r="19" spans="1:13" ht="15.5" x14ac:dyDescent="0.35">
      <c r="A19" s="3">
        <v>4</v>
      </c>
      <c r="B19" s="4" t="s">
        <v>13</v>
      </c>
      <c r="C19" s="3">
        <v>1</v>
      </c>
      <c r="D19" s="3" t="s">
        <v>24</v>
      </c>
      <c r="E19" s="5">
        <v>55000</v>
      </c>
      <c r="F19" s="6">
        <f t="shared" si="2"/>
        <v>55000</v>
      </c>
    </row>
    <row r="20" spans="1:13" ht="15.5" x14ac:dyDescent="0.35">
      <c r="A20" s="42" t="s">
        <v>87</v>
      </c>
      <c r="B20" s="61"/>
      <c r="C20" s="61"/>
      <c r="D20" s="61"/>
      <c r="E20" s="43"/>
      <c r="F20" s="7">
        <f>SUM(F12:F19)</f>
        <v>160000</v>
      </c>
    </row>
    <row r="21" spans="1:13" ht="15.5" x14ac:dyDescent="0.35">
      <c r="A21" s="37" t="s">
        <v>40</v>
      </c>
      <c r="B21" s="38"/>
      <c r="C21" s="38"/>
      <c r="D21" s="38"/>
      <c r="E21" s="38"/>
      <c r="F21" s="39"/>
    </row>
    <row r="22" spans="1:13" ht="15.5" x14ac:dyDescent="0.35">
      <c r="A22" s="37" t="s">
        <v>42</v>
      </c>
      <c r="B22" s="38"/>
      <c r="C22" s="38"/>
      <c r="D22" s="38"/>
      <c r="E22" s="38"/>
      <c r="F22" s="39"/>
    </row>
    <row r="23" spans="1:13" ht="15.5" x14ac:dyDescent="0.35">
      <c r="A23" s="3">
        <v>1</v>
      </c>
      <c r="B23" s="4" t="s">
        <v>44</v>
      </c>
      <c r="C23" s="3">
        <v>2</v>
      </c>
      <c r="D23" s="3" t="s">
        <v>31</v>
      </c>
      <c r="E23" s="13">
        <v>10000</v>
      </c>
      <c r="F23" s="13">
        <f>(E23*C23)</f>
        <v>20000</v>
      </c>
    </row>
    <row r="24" spans="1:13" ht="15.5" x14ac:dyDescent="0.35">
      <c r="A24" s="3">
        <v>2</v>
      </c>
      <c r="B24" s="4" t="s">
        <v>46</v>
      </c>
      <c r="C24" s="3">
        <v>8</v>
      </c>
      <c r="D24" s="3" t="s">
        <v>31</v>
      </c>
      <c r="E24" s="13">
        <v>10000</v>
      </c>
      <c r="F24" s="13">
        <f t="shared" ref="F24:F27" si="3">(E24*C24)</f>
        <v>80000</v>
      </c>
    </row>
    <row r="25" spans="1:13" ht="15.5" x14ac:dyDescent="0.35">
      <c r="A25" s="3">
        <v>3</v>
      </c>
      <c r="B25" s="4" t="s">
        <v>47</v>
      </c>
      <c r="C25" s="3">
        <v>52</v>
      </c>
      <c r="D25" s="3" t="s">
        <v>31</v>
      </c>
      <c r="E25" s="13">
        <v>10000</v>
      </c>
      <c r="F25" s="13">
        <f t="shared" si="3"/>
        <v>520000</v>
      </c>
    </row>
    <row r="26" spans="1:13" ht="15.5" x14ac:dyDescent="0.35">
      <c r="A26" s="3">
        <v>4</v>
      </c>
      <c r="B26" s="4" t="s">
        <v>48</v>
      </c>
      <c r="C26" s="3">
        <v>3</v>
      </c>
      <c r="D26" s="3" t="s">
        <v>49</v>
      </c>
      <c r="E26" s="13">
        <v>3000</v>
      </c>
      <c r="F26" s="13">
        <f t="shared" si="3"/>
        <v>9000</v>
      </c>
    </row>
    <row r="27" spans="1:13" ht="15.5" x14ac:dyDescent="0.35">
      <c r="A27" s="3">
        <v>5</v>
      </c>
      <c r="B27" s="4" t="s">
        <v>50</v>
      </c>
      <c r="C27" s="3">
        <v>3</v>
      </c>
      <c r="D27" s="3" t="s">
        <v>31</v>
      </c>
      <c r="E27" s="13">
        <v>22000</v>
      </c>
      <c r="F27" s="13">
        <f t="shared" si="3"/>
        <v>66000</v>
      </c>
    </row>
    <row r="28" spans="1:13" ht="15.5" x14ac:dyDescent="0.35">
      <c r="A28" s="42" t="s">
        <v>53</v>
      </c>
      <c r="B28" s="61"/>
      <c r="C28" s="61"/>
      <c r="D28" s="61"/>
      <c r="E28" s="43"/>
      <c r="F28" s="14">
        <f>SUM(F23:F27)</f>
        <v>695000</v>
      </c>
    </row>
    <row r="29" spans="1:13" ht="15.5" x14ac:dyDescent="0.35">
      <c r="A29" s="37" t="s">
        <v>43</v>
      </c>
      <c r="B29" s="38"/>
      <c r="C29" s="38"/>
      <c r="D29" s="38"/>
      <c r="E29" s="38"/>
      <c r="F29" s="39"/>
    </row>
    <row r="30" spans="1:13" ht="15.5" x14ac:dyDescent="0.35">
      <c r="A30" s="3">
        <v>1</v>
      </c>
      <c r="B30" s="4" t="s">
        <v>30</v>
      </c>
      <c r="C30" s="3">
        <v>30</v>
      </c>
      <c r="D30" s="3" t="s">
        <v>31</v>
      </c>
      <c r="E30" s="15">
        <v>10000</v>
      </c>
      <c r="F30" s="13">
        <f>C30*E30</f>
        <v>300000</v>
      </c>
    </row>
    <row r="31" spans="1:13" ht="15.5" x14ac:dyDescent="0.35">
      <c r="A31" s="42" t="s">
        <v>51</v>
      </c>
      <c r="B31" s="61"/>
      <c r="C31" s="61"/>
      <c r="D31" s="61"/>
      <c r="E31" s="43"/>
      <c r="F31" s="16">
        <f>SUM(F30:F30)</f>
        <v>300000</v>
      </c>
    </row>
    <row r="32" spans="1:13" ht="15.5" x14ac:dyDescent="0.35">
      <c r="A32" s="42" t="s">
        <v>88</v>
      </c>
      <c r="B32" s="61"/>
      <c r="C32" s="61"/>
      <c r="D32" s="61"/>
      <c r="E32" s="43"/>
      <c r="F32" s="16">
        <f>F31+F28</f>
        <v>995000</v>
      </c>
    </row>
    <row r="33" spans="1:6" ht="15.5" x14ac:dyDescent="0.35">
      <c r="A33" s="42" t="s">
        <v>41</v>
      </c>
      <c r="B33" s="61"/>
      <c r="C33" s="61"/>
      <c r="D33" s="61"/>
      <c r="E33" s="43"/>
      <c r="F33" s="17">
        <f>F32+F20+F10</f>
        <v>1490000</v>
      </c>
    </row>
    <row r="34" spans="1:6" ht="15.5" x14ac:dyDescent="0.35">
      <c r="A34" s="42" t="s">
        <v>26</v>
      </c>
      <c r="B34" s="43"/>
      <c r="C34" s="20" t="s">
        <v>55</v>
      </c>
      <c r="D34" s="44" t="s">
        <v>56</v>
      </c>
      <c r="E34" s="45"/>
      <c r="F34" s="46"/>
    </row>
    <row r="35" spans="1:6" x14ac:dyDescent="0.35">
      <c r="A35" s="40" t="s">
        <v>27</v>
      </c>
      <c r="B35" s="41"/>
      <c r="C35" s="21">
        <f>F10+F20</f>
        <v>495000</v>
      </c>
      <c r="D35" s="47" t="s">
        <v>57</v>
      </c>
      <c r="E35" s="48"/>
      <c r="F35" s="49"/>
    </row>
    <row r="36" spans="1:6" ht="15.5" x14ac:dyDescent="0.35">
      <c r="A36" s="40" t="s">
        <v>28</v>
      </c>
      <c r="B36" s="41"/>
      <c r="C36" s="21">
        <f>F32</f>
        <v>995000</v>
      </c>
      <c r="D36" s="47" t="s">
        <v>58</v>
      </c>
      <c r="E36" s="48"/>
      <c r="F36" s="49"/>
    </row>
  </sheetData>
  <mergeCells count="31">
    <mergeCell ref="H18:I18"/>
    <mergeCell ref="K18:M18"/>
    <mergeCell ref="I2:M2"/>
    <mergeCell ref="H16:L16"/>
    <mergeCell ref="H17:I17"/>
    <mergeCell ref="K17:M17"/>
    <mergeCell ref="B2:F2"/>
    <mergeCell ref="H5:M5"/>
    <mergeCell ref="H6:M6"/>
    <mergeCell ref="H12:L12"/>
    <mergeCell ref="H13:M13"/>
    <mergeCell ref="H15:L15"/>
    <mergeCell ref="A35:B35"/>
    <mergeCell ref="D35:F35"/>
    <mergeCell ref="A36:B36"/>
    <mergeCell ref="D36:F36"/>
    <mergeCell ref="A13:A17"/>
    <mergeCell ref="B13:F13"/>
    <mergeCell ref="A32:E32"/>
    <mergeCell ref="A28:E28"/>
    <mergeCell ref="A29:F29"/>
    <mergeCell ref="A31:E31"/>
    <mergeCell ref="A33:E33"/>
    <mergeCell ref="A34:B34"/>
    <mergeCell ref="D34:F34"/>
    <mergeCell ref="A5:F5"/>
    <mergeCell ref="A10:E10"/>
    <mergeCell ref="A11:F11"/>
    <mergeCell ref="A20:E20"/>
    <mergeCell ref="A21:F21"/>
    <mergeCell ref="A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zya</dc:creator>
  <cp:lastModifiedBy>ASUS</cp:lastModifiedBy>
  <dcterms:created xsi:type="dcterms:W3CDTF">2023-04-05T13:10:39Z</dcterms:created>
  <dcterms:modified xsi:type="dcterms:W3CDTF">2023-04-17T05:43:40Z</dcterms:modified>
</cp:coreProperties>
</file>